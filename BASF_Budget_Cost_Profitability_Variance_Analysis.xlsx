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626b07dc2099ace2/Desktop/Finance Projects/BASF/"/>
    </mc:Choice>
  </mc:AlternateContent>
  <xr:revisionPtr revIDLastSave="89" documentId="11_F473BF9B13DCC4DA6C58EB0FCE1E4BF9A96FEDA0" xr6:coauthVersionLast="47" xr6:coauthVersionMax="47" xr10:uidLastSave="{5E01B324-C8FA-4364-A5E3-F8D023C9D015}"/>
  <bookViews>
    <workbookView xWindow="-108" yWindow="-108" windowWidth="23256" windowHeight="12456" activeTab="3" xr2:uid="{00000000-000D-0000-FFFF-FFFF00000000}"/>
  </bookViews>
  <sheets>
    <sheet name="Income Statement" sheetId="1" r:id="rId1"/>
    <sheet name="Balance Sheet" sheetId="2" r:id="rId2"/>
    <sheet name="Cash Flow" sheetId="3" r:id="rId3"/>
    <sheet name="Budget, Cost, Profit, Variance" sheetId="4" r:id="rId4"/>
  </sheets>
  <externalReferences>
    <externalReference r:id="rId5"/>
  </externalReferences>
  <definedNames>
    <definedName name="_xlnm._FilterDatabase" localSheetId="3" hidden="1">'Budget, Cost, Profit, Variance'!$A$7:$C$16</definedName>
  </definedNames>
  <calcPr calcId="191029" iterateDelta="1E-4"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4" i="4" l="1"/>
  <c r="F3" i="3"/>
  <c r="E3" i="3"/>
  <c r="D3" i="3"/>
  <c r="C3" i="3"/>
  <c r="B3" i="3"/>
  <c r="F57" i="2"/>
  <c r="E57" i="2"/>
  <c r="D57" i="2"/>
  <c r="C57" i="2"/>
  <c r="B57" i="2"/>
  <c r="F44" i="2"/>
  <c r="E44" i="2"/>
  <c r="D44" i="2"/>
  <c r="C44" i="2"/>
  <c r="B44" i="2"/>
  <c r="F24" i="2"/>
  <c r="E24" i="2"/>
  <c r="D24" i="2"/>
  <c r="C24" i="2"/>
  <c r="B153" i="4"/>
  <c r="B152" i="4"/>
  <c r="B149" i="4"/>
  <c r="B148" i="4"/>
  <c r="B145" i="4"/>
  <c r="B144" i="4"/>
  <c r="B141" i="4"/>
  <c r="B140" i="4"/>
  <c r="B137" i="4"/>
  <c r="B136" i="4"/>
  <c r="B115" i="4"/>
  <c r="B107" i="4"/>
  <c r="C96" i="4"/>
  <c r="B96" i="4"/>
  <c r="B65" i="4"/>
  <c r="B77" i="4" s="1"/>
  <c r="C99" i="4" s="1"/>
  <c r="B64" i="4"/>
  <c r="B70" i="4" s="1"/>
  <c r="B98" i="4" s="1"/>
  <c r="B63" i="4"/>
  <c r="B69" i="4" s="1"/>
  <c r="C49" i="4"/>
  <c r="C51" i="4" s="1"/>
  <c r="B44" i="4"/>
  <c r="B49" i="4" s="1"/>
  <c r="C41" i="4"/>
  <c r="B41" i="4"/>
  <c r="C40" i="4"/>
  <c r="B40" i="4"/>
  <c r="C39" i="4"/>
  <c r="B39" i="4"/>
  <c r="C38" i="4"/>
  <c r="B38" i="4"/>
  <c r="C37" i="4"/>
  <c r="C42" i="4" s="1"/>
  <c r="B37" i="4"/>
  <c r="C16" i="4"/>
  <c r="B16" i="4"/>
  <c r="B146" i="4" l="1"/>
  <c r="B43" i="4"/>
  <c r="B109" i="4" s="1"/>
  <c r="B108" i="4"/>
  <c r="B110" i="4" s="1"/>
  <c r="B123" i="4"/>
  <c r="B150" i="4"/>
  <c r="B161" i="4" s="1"/>
  <c r="B174" i="4" s="1"/>
  <c r="C43" i="4"/>
  <c r="C57" i="4" s="1"/>
  <c r="B71" i="4"/>
  <c r="B99" i="4" s="1"/>
  <c r="B42" i="4"/>
  <c r="B76" i="4"/>
  <c r="C98" i="4" s="1"/>
  <c r="B138" i="4"/>
  <c r="B154" i="4"/>
  <c r="B142" i="4"/>
  <c r="B97" i="4"/>
  <c r="B160" i="4"/>
  <c r="B51" i="4"/>
  <c r="B50" i="4"/>
  <c r="B116" i="4"/>
  <c r="B127" i="4"/>
  <c r="B172" i="4" s="1"/>
  <c r="C50" i="4"/>
  <c r="B75" i="4"/>
  <c r="B52" i="4"/>
  <c r="B56" i="4"/>
  <c r="B117" i="4" l="1"/>
  <c r="B125" i="4" s="1"/>
  <c r="B111" i="4"/>
  <c r="B166" i="4" s="1"/>
  <c r="B171" i="4" s="1"/>
  <c r="B124" i="4"/>
  <c r="C52" i="4"/>
  <c r="C54" i="4" s="1"/>
  <c r="C55" i="4" s="1"/>
  <c r="C56" i="4"/>
  <c r="B156" i="4"/>
  <c r="B72" i="4"/>
  <c r="B84" i="4" s="1"/>
  <c r="B101" i="4" s="1"/>
  <c r="B78" i="4"/>
  <c r="B81" i="4" s="1"/>
  <c r="B88" i="4" s="1"/>
  <c r="B102" i="4" s="1"/>
  <c r="C97" i="4"/>
  <c r="B57" i="4"/>
  <c r="B58" i="4" s="1"/>
  <c r="B53" i="4"/>
  <c r="B54" i="4"/>
  <c r="B55" i="4" s="1"/>
  <c r="B162" i="4"/>
  <c r="B170" i="4" s="1"/>
  <c r="B173" i="4"/>
  <c r="B131" i="4"/>
  <c r="C58" i="4"/>
  <c r="B118" i="4"/>
  <c r="B119" i="4" s="1"/>
  <c r="B126" i="4" l="1"/>
  <c r="C53" i="4"/>
  <c r="B100" i="4"/>
  <c r="B132" i="4"/>
  <c r="B85" i="4"/>
  <c r="C100" i="4"/>
  <c r="B89" i="4"/>
  <c r="C102" i="4" s="1"/>
  <c r="A92" i="4" l="1"/>
  <c r="B92" i="4"/>
  <c r="C101" i="4"/>
</calcChain>
</file>

<file path=xl/sharedStrings.xml><?xml version="1.0" encoding="utf-8"?>
<sst xmlns="http://schemas.openxmlformats.org/spreadsheetml/2006/main" count="345" uniqueCount="251">
  <si>
    <t>Budgeting, Cost Management, Profitability &amp; Variance Analysis</t>
  </si>
  <si>
    <t>Hypothetical management accounting dataset — figures are model inputs for portfolio/educational analysis.</t>
  </si>
  <si>
    <t>Operating &amp; Cost Data</t>
  </si>
  <si>
    <t>Metric</t>
  </si>
  <si>
    <t>Budget</t>
  </si>
  <si>
    <t>Actual</t>
  </si>
  <si>
    <t>Units Sold</t>
  </si>
  <si>
    <t>Selling Price per Unit (€)</t>
  </si>
  <si>
    <t>Variable Material Cost per Unit (€)</t>
  </si>
  <si>
    <t>Variable Labor Cost per Unit (€)</t>
  </si>
  <si>
    <t>Variable Manufacturing Overhead per Unit (€)</t>
  </si>
  <si>
    <t>Fixed Manufacturing Costs (€)</t>
  </si>
  <si>
    <t>Fixed Selling &amp; Administrative Costs (€)</t>
  </si>
  <si>
    <t>Target Profit</t>
  </si>
  <si>
    <t>Revenue</t>
  </si>
  <si>
    <t>ABC Costing Data</t>
  </si>
  <si>
    <t>Activity</t>
  </si>
  <si>
    <t>Budgeted Cost (€)</t>
  </si>
  <si>
    <t>Cost Driver</t>
  </si>
  <si>
    <t>Budgeted Driver Volume</t>
  </si>
  <si>
    <t>Machine Setup</t>
  </si>
  <si>
    <t>Number of Setups</t>
  </si>
  <si>
    <t>Quality Inspection</t>
  </si>
  <si>
    <t>Number of Inspections</t>
  </si>
  <si>
    <t>Material Handling</t>
  </si>
  <si>
    <t>Material Movements</t>
  </si>
  <si>
    <t>Product-Level Activity Data</t>
  </si>
  <si>
    <t>Product</t>
  </si>
  <si>
    <t>Units</t>
  </si>
  <si>
    <t>Setups</t>
  </si>
  <si>
    <t>Inspections</t>
  </si>
  <si>
    <t>Product A</t>
  </si>
  <si>
    <t>Product B</t>
  </si>
  <si>
    <t>Total</t>
  </si>
  <si>
    <t>Data Classification Note</t>
  </si>
  <si>
    <t>Hypothetical modelling data: The figures above are created for the Project 2 management-accounting case and are not BASF-reported figures.</t>
  </si>
  <si>
    <t>Cost Classification &amp; Analysis</t>
  </si>
  <si>
    <t>Cost Item</t>
  </si>
  <si>
    <t>Variable Material Cost</t>
  </si>
  <si>
    <t>Variable Labor Cost</t>
  </si>
  <si>
    <t>Variable Manufacturing Overhead</t>
  </si>
  <si>
    <t>Fixed Manufacturing Costs</t>
  </si>
  <si>
    <t>Fixed Selling &amp; Administrative Costs</t>
  </si>
  <si>
    <t>Total Variable Cost</t>
  </si>
  <si>
    <t>Total Fixed Costs</t>
  </si>
  <si>
    <t>Total Variable Cost per Unit</t>
  </si>
  <si>
    <t>The analysis shows that variable costs increased significantly, with total variable costs rising from €14.0 million to €15.54 million and variable cost per unit increasing from €140 to €148. Fixed costs also increased slightly from €6.0 million to €6.3 million. Overall, the business experienced higher cost pressure, particularly from variable costs, which negatively affects profitability.</t>
  </si>
  <si>
    <t>Cost-Volume-Profit (CVP) Analysis</t>
  </si>
  <si>
    <t>Item</t>
  </si>
  <si>
    <t>Contribution Margin Per Unit</t>
  </si>
  <si>
    <t>Contribution margin ratio</t>
  </si>
  <si>
    <t>Total Contribution Margin</t>
  </si>
  <si>
    <t>Break-Even Units</t>
  </si>
  <si>
    <t>Break-Even Sales</t>
  </si>
  <si>
    <t>Margin of Safety Units</t>
  </si>
  <si>
    <t>Margin of Safety Ratio</t>
  </si>
  <si>
    <t>Target Profit Units</t>
  </si>
  <si>
    <t>Operating Profit</t>
  </si>
  <si>
    <t>Degree of Operating Leverage (DOL)</t>
  </si>
  <si>
    <t>The CVP analysis shows that profitability weakened despite higher sales volume. Contribution margin per unit fell from €110 to €97, while the break-even point increased from 54,545 to 64,948 units. The margin of safety also declined from 45% to 38%, and operating profit fell from €5.0 million to €3.885 million. Overall, the business has less profit protection and greater operating risk than budgeted.</t>
  </si>
  <si>
    <t>Activity-Based Costing (ABC) Analysis</t>
  </si>
  <si>
    <t>Calculate the Activity Rate</t>
  </si>
  <si>
    <t>Allocate ABC Cost to Each Product</t>
  </si>
  <si>
    <t>Total ABC Cost</t>
  </si>
  <si>
    <t>Total Product A + Product B (ABC) Costing</t>
  </si>
  <si>
    <t>Calculate ABC Cost Per Unit</t>
  </si>
  <si>
    <t>Compare Cost Allocation</t>
  </si>
  <si>
    <t xml:space="preserve">Product A </t>
  </si>
  <si>
    <t>Calculate ABC Cost per Unit Difference</t>
  </si>
  <si>
    <t>ABC Cost Allocation Summary</t>
  </si>
  <si>
    <t>ABC Analysis</t>
  </si>
  <si>
    <t>Machine Setup Cost</t>
  </si>
  <si>
    <t>Quality Inspection Cost</t>
  </si>
  <si>
    <t>Material Handling Cost</t>
  </si>
  <si>
    <t>ABC Cost per Unit</t>
  </si>
  <si>
    <t>—</t>
  </si>
  <si>
    <t>Share of Total ABC Cost</t>
  </si>
  <si>
    <t>The ABC analysis shows that Product B consumes a disproportionately higher share of activity-based costs. Although Product B represents 40% of total units, it accounts for 61% of total ABC costs, resulting in a higher ABC cost per unit of €30.50 compared with €13.00 for Product A. This indicates that Product B is more resource-intensive, particularly in machine setups, inspections, and material handling.</t>
  </si>
  <si>
    <t>Budgeting &amp; Variance Management</t>
  </si>
  <si>
    <t>Static Budget</t>
  </si>
  <si>
    <t>Budgeted Revenue</t>
  </si>
  <si>
    <t>Budgeted Variable Cost</t>
  </si>
  <si>
    <t>Budgeted Fixed Cost</t>
  </si>
  <si>
    <t>Budgeted Contribution Margin</t>
  </si>
  <si>
    <t>Budgeted Operating Profit</t>
  </si>
  <si>
    <t>The static budget projects €25.0 million in revenue, with €14.0 million in variable costs and €6.0 million in fixed costs, resulting in a €11.0 million contribution margin and €5.0 million operating profit. This provides the baseline against which actual and flexible-budget performance can be evaluated.</t>
  </si>
  <si>
    <t>Flexible Budget</t>
  </si>
  <si>
    <t>Flexible Budget Revenue</t>
  </si>
  <si>
    <t>Flexible Budget Variable Cost</t>
  </si>
  <si>
    <t>Flexible Budget Fixed Cost</t>
  </si>
  <si>
    <t>Flexible Budget Contribution Margin</t>
  </si>
  <si>
    <t>Flexible Budget Operating Profit</t>
  </si>
  <si>
    <t>The flexible budget adjusts the budget to the actual sales volume, resulting in €26.25 million of revenue, €14.7 million of variable costs, and €6.0 million of fixed costs. This produces a €11.55 million contribution margin and €5.55 million operating profit, providing a more appropriate benchmark for evaluating actual performance at the higher sales volume.</t>
  </si>
  <si>
    <t>Budget vs. Flexible Budget Variance</t>
  </si>
  <si>
    <t>Revenue Volume Variance</t>
  </si>
  <si>
    <t>Variable Cost Volume Variance</t>
  </si>
  <si>
    <t>Fixed Cost Volume Variance</t>
  </si>
  <si>
    <t>Operating Profit Volume Variance</t>
  </si>
  <si>
    <t>Revenue Variance</t>
  </si>
  <si>
    <t>The variance analysis shows that the higher sales volume created a €1.25 million favorable revenue volume variance and a €550,000 favorable operating profit volume variance. However, the actual revenue was €525,000 below the flexible budget, indicating that the higher volume did not fully translate into the expected revenue. Overall, the additional sales volume was beneficial, but revenue performance was weaker than expected at that volume.</t>
  </si>
  <si>
    <t>Actual vs. Flexible Budget Variances</t>
  </si>
  <si>
    <t>Fixed Cost Variance</t>
  </si>
  <si>
    <t>Operating Profit Variance</t>
  </si>
  <si>
    <t>The actual results were below the flexible budget, with a €300,000 unfavorable fixed cost variance and a €1.665 million unfavorable operating profit variance. This indicates that the higher sales volume did not translate into the expected profitability, while fixed costs were also higher than planned.</t>
  </si>
  <si>
    <t>Detailed Cost Variance Analysis</t>
  </si>
  <si>
    <t>Flexible Budget Material Cost</t>
  </si>
  <si>
    <t>Actual Material Cost</t>
  </si>
  <si>
    <t>Material Cost Variance</t>
  </si>
  <si>
    <t>Flexible Budget Labor Cost</t>
  </si>
  <si>
    <t>Actual Labor Cost</t>
  </si>
  <si>
    <t>Labor Cost Variance</t>
  </si>
  <si>
    <t>Flexible Budget Manufacturing Overhead</t>
  </si>
  <si>
    <t>Actual Manufacturing Overhead</t>
  </si>
  <si>
    <t>Manufacturing Overhead Cost Variance</t>
  </si>
  <si>
    <t>Budgeted Fixed Manufacturing Cost</t>
  </si>
  <si>
    <t>Actual Fixed Manufacturing Cost</t>
  </si>
  <si>
    <t>Fixed Manufacturing Cost Variance</t>
  </si>
  <si>
    <t>Budgeted Selling &amp; Administrative Cost</t>
  </si>
  <si>
    <t>Actual Selling &amp; Administrative Cost</t>
  </si>
  <si>
    <t>Selling &amp; Administrative Cost Variance</t>
  </si>
  <si>
    <t>Total Cost Variance</t>
  </si>
  <si>
    <t>The detailed cost variance analysis shows that all major cost categories exceeded their budgeted or flexible-budget levels. Material costs had the largest variance at €525,000, followed by labor at €210,000 and manufacturing overhead at €105,000. Fixed manufacturing and selling &amp; administrative costs also exceeded budget by €200,000 and €100,000, respectively. Overall, the business experienced a €1.14 million unfavorable total cost variance, with material costs being the largest contributor.</t>
  </si>
  <si>
    <t>Variance Reconciliation</t>
  </si>
  <si>
    <t>Variable Cost Variance</t>
  </si>
  <si>
    <t>The variance reconciliation shows that the €1.14 million total cost variance consists of €840,000 in variable cost variance and €300,000 in fixed cost variance. This indicates that variable costs were the larger contributor to the overall unfavorable cost variance, accounting for most of the cost overrun.</t>
  </si>
  <si>
    <t>Profitability Impact Analysis</t>
  </si>
  <si>
    <t>The profitability impact analysis shows an operating profit variance of €1.115 million unfavorable compared with the budget. This indicates that the business generated €1.115 million less operating profit than planned, reflecting the combined impact of lower revenue performance and higher costs.</t>
  </si>
  <si>
    <t>Variance Summary</t>
  </si>
  <si>
    <t>The variance summary shows an overall unfavorable cost and profitability position. Total costs were €1.14 million above expectations, while revenue was €525,000 below the flexible budget, resulting in an €1.115 million unfavorable operating profit variance. Variable costs were the largest contributor to the cost variance at €840,000, compared with €300,000 from fixed costs.</t>
  </si>
  <si>
    <t>Overall Management Interpretation</t>
  </si>
  <si>
    <t>Overall, the analysis shows that sales volume increased, but profitability weakened due to lower selling prices and higher variable and fixed costs. The contribution margin declined, break-even requirements increased, and operating profit fell to €3.885 million. Overall, the business should focus on controlling variable costs, improving pricing, and increasing the profitability of resource-intensive products.</t>
  </si>
  <si>
    <t>BASF — Income Statement (FY2021–FY2025)</t>
  </si>
  <si>
    <t>Revenue Growth</t>
  </si>
  <si>
    <t>Cost of Revenue</t>
  </si>
  <si>
    <t>Gross Profit</t>
  </si>
  <si>
    <t>Selling, General &amp; Admin</t>
  </si>
  <si>
    <t>Research &amp; Development</t>
  </si>
  <si>
    <t>Other Operating Expenses</t>
  </si>
  <si>
    <t>Operating Expenses</t>
  </si>
  <si>
    <t>Operating Income</t>
  </si>
  <si>
    <t>Interest Expense</t>
  </si>
  <si>
    <t>Interest &amp; Investment Income</t>
  </si>
  <si>
    <t>Earnings From Equity Investments</t>
  </si>
  <si>
    <t>Currency Exchange Gain (Loss)</t>
  </si>
  <si>
    <t>Other Non Operating Income (Expenses)</t>
  </si>
  <si>
    <t>EBT Excluding Unusual Items</t>
  </si>
  <si>
    <t>Merger &amp; Restructuring Charges</t>
  </si>
  <si>
    <t>Gain (Loss) on Sale of Investments</t>
  </si>
  <si>
    <t>Gain (Loss) on Sale of Assets</t>
  </si>
  <si>
    <t>Asset Writedown</t>
  </si>
  <si>
    <t>-</t>
  </si>
  <si>
    <t>Pretax Income</t>
  </si>
  <si>
    <t>Income Tax Expense</t>
  </si>
  <si>
    <t>Earnings From Continuing Operations</t>
  </si>
  <si>
    <t>Earnings From Discontinued Operations</t>
  </si>
  <si>
    <t>Net Income to Company</t>
  </si>
  <si>
    <t>Minority Interest in Earnings</t>
  </si>
  <si>
    <t>Net Income</t>
  </si>
  <si>
    <t>Net Income to Common</t>
  </si>
  <si>
    <t>Net Income Growth</t>
  </si>
  <si>
    <t>Shares Outstanding (Basic)</t>
  </si>
  <si>
    <t>Shares Outstanding (Diluted)</t>
  </si>
  <si>
    <t>Shares Change</t>
  </si>
  <si>
    <t>EPS (Basic)</t>
  </si>
  <si>
    <t>EPS (Diluted)</t>
  </si>
  <si>
    <t>EPS Growth</t>
  </si>
  <si>
    <t>BASF — Balance Sheet (FY2021–FY2025)</t>
  </si>
  <si>
    <t>Fiscal Year</t>
  </si>
  <si>
    <t>FY 2021</t>
  </si>
  <si>
    <t>FY 2022</t>
  </si>
  <si>
    <t>FY 2023</t>
  </si>
  <si>
    <t>FY 2024</t>
  </si>
  <si>
    <t>FY 2025</t>
  </si>
  <si>
    <t>Cash &amp; Equivalents</t>
  </si>
  <si>
    <t>Short-Term Investments</t>
  </si>
  <si>
    <t>Trading Asset Securities</t>
  </si>
  <si>
    <t>Cash &amp; Short-Term Investments</t>
  </si>
  <si>
    <t>Cash Growth</t>
  </si>
  <si>
    <t>Accounts Receivable</t>
  </si>
  <si>
    <t>Other Receivables</t>
  </si>
  <si>
    <t>Receivables</t>
  </si>
  <si>
    <t>Inventory</t>
  </si>
  <si>
    <t>Prepaid Expenses</t>
  </si>
  <si>
    <t>Other Current Assets</t>
  </si>
  <si>
    <t>Total Current Assets</t>
  </si>
  <si>
    <t>Property, Plant &amp; Equipment</t>
  </si>
  <si>
    <t>Long-Term Investments</t>
  </si>
  <si>
    <t>Goodwill</t>
  </si>
  <si>
    <t>Other Intangible Assets</t>
  </si>
  <si>
    <t>Long-Term Accounts Receivable</t>
  </si>
  <si>
    <t>Long-Term Deferred Tax Assets</t>
  </si>
  <si>
    <t>Other Long-Term Assets</t>
  </si>
  <si>
    <t>Total Assets</t>
  </si>
  <si>
    <t>Average Accounts Receivable</t>
  </si>
  <si>
    <t>Liabilities</t>
  </si>
  <si>
    <t>Accounts Payable</t>
  </si>
  <si>
    <t>Accrued Expenses</t>
  </si>
  <si>
    <t>Short-Term Debt</t>
  </si>
  <si>
    <t>Current Portion of Long-Term Debt</t>
  </si>
  <si>
    <t>Current Portion of Leases</t>
  </si>
  <si>
    <t>Current Income Taxes Payable</t>
  </si>
  <si>
    <t>Current Unearned Revenue</t>
  </si>
  <si>
    <t>Other Current Liabilities</t>
  </si>
  <si>
    <t>Total Current Liabilities</t>
  </si>
  <si>
    <t>Long-Term Debt</t>
  </si>
  <si>
    <t>Long-Term Leases</t>
  </si>
  <si>
    <t>Long-Term Unearned Revenue</t>
  </si>
  <si>
    <t>Pension &amp; Post-Retirement Benefits</t>
  </si>
  <si>
    <t>Long-Term Deferred Tax Liabilities</t>
  </si>
  <si>
    <t>Other Long-Term Liabilities</t>
  </si>
  <si>
    <t>Total Liabilities</t>
  </si>
  <si>
    <t>Total Debt</t>
  </si>
  <si>
    <t>Shareholders' Equity</t>
  </si>
  <si>
    <t>Common Stock</t>
  </si>
  <si>
    <t>Retained Earnings</t>
  </si>
  <si>
    <t>Comprehensive Income &amp; Other</t>
  </si>
  <si>
    <t>Total Common Equity</t>
  </si>
  <si>
    <t>Minority Interest</t>
  </si>
  <si>
    <t>Total Liabilities &amp; Equity</t>
  </si>
  <si>
    <t>Balance Check</t>
  </si>
  <si>
    <t>BASF — Cash Flow Statement (FY2021–FY2025)</t>
  </si>
  <si>
    <t>Depreciation &amp; Amortization</t>
  </si>
  <si>
    <t>Other Amortization</t>
  </si>
  <si>
    <t>Loss (Gain) From Sale of Assets</t>
  </si>
  <si>
    <t>Asset Writedown &amp; Restructuring Costs</t>
  </si>
  <si>
    <t>Loss (Gain) on Equity Investments</t>
  </si>
  <si>
    <t>Other Operating Activities</t>
  </si>
  <si>
    <t>Change in Accounts Receivable</t>
  </si>
  <si>
    <t>Change in Inventory</t>
  </si>
  <si>
    <t>Change in Accounts Payable</t>
  </si>
  <si>
    <t>Change in Other Net Operating Assets</t>
  </si>
  <si>
    <t>Operating Cash Flow</t>
  </si>
  <si>
    <t>Operating Cash Flow Growth</t>
  </si>
  <si>
    <t>Investing Activities</t>
  </si>
  <si>
    <t>Capital Expenditures</t>
  </si>
  <si>
    <t>Cash Acquisitions</t>
  </si>
  <si>
    <t>Divestitures</t>
  </si>
  <si>
    <t>Investment in Securities</t>
  </si>
  <si>
    <t>Other Investing Activities</t>
  </si>
  <si>
    <t>Investing Cash Flow</t>
  </si>
  <si>
    <t>Financing Activities</t>
  </si>
  <si>
    <t>Long-Term Debt Issued</t>
  </si>
  <si>
    <t>Long-Term Debt Repaid</t>
  </si>
  <si>
    <t>Net Debt Issued (Repaid)</t>
  </si>
  <si>
    <t>Repurchase of Common Stock</t>
  </si>
  <si>
    <t>Common Dividends Paid</t>
  </si>
  <si>
    <t>Other Financing Activities</t>
  </si>
  <si>
    <t>Financing Cash Flow</t>
  </si>
  <si>
    <t>Foreign Exchange Rate Adjustments</t>
  </si>
  <si>
    <t>Miscellaneous Cash Flow Adjustments</t>
  </si>
  <si>
    <t>Net 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</si>
</sst>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7" formatCode="[$€-2]\ #,##0;[Red]\-[$€-2]\ #,##0"/>
    <numFmt numFmtId="172" formatCode="\€#,##0.00;[Red]\-\€#,##0.00"/>
    <numFmt numFmtId="173" formatCode="0.00\x"/>
    <numFmt numFmtId="174" formatCode="#,##0.0"/>
  </numFmts>
  <fonts count="11" x14ac:knownFonts="1">
    <font>
      <sz val="11"/>
      <color theme="1"/>
      <name val="Aptos Narrow"/>
      <family val="2"/>
      <scheme val="minor"/>
    </font>
    <font>
      <sz val="14"/>
      <color rgb="FF111827"/>
      <name val="Arial"/>
      <family val="2"/>
      <charset val="1"/>
    </font>
    <font>
      <sz val="14"/>
      <color rgb="FF15803D"/>
      <name val="Arial"/>
      <family val="2"/>
      <charset val="1"/>
    </font>
    <font>
      <sz val="14"/>
      <color rgb="FFDC2626"/>
      <name val="Arial"/>
      <family val="2"/>
      <charset val="1"/>
    </font>
    <font>
      <b/>
      <sz val="14"/>
      <color rgb="FF111827"/>
      <name val="Arial"/>
      <family val="2"/>
      <charset val="1"/>
    </font>
    <font>
      <b/>
      <sz val="11"/>
      <color theme="1"/>
      <name val="Aptos Narrow"/>
      <family val="2"/>
      <charset val="1"/>
    </font>
    <font>
      <b/>
      <sz val="14"/>
      <color rgb="FFFFFFFF"/>
      <name val="Aptos Narrow"/>
    </font>
    <font>
      <b/>
      <sz val="11"/>
      <color rgb="FFFFFFFF"/>
      <name val="Aptos Narrow"/>
    </font>
    <font>
      <i/>
      <sz val="11"/>
      <color rgb="FF666666"/>
      <name val="Aptos Narrow"/>
    </font>
    <font>
      <b/>
      <sz val="12"/>
      <name val="Aptos Narrow"/>
    </font>
    <font>
      <b/>
      <sz val="11"/>
      <name val="Aptos Narrow"/>
    </font>
  </fonts>
  <fills count="9">
    <fill>
      <patternFill patternType="none"/>
    </fill>
    <fill>
      <patternFill patternType="gray125"/>
    </fill>
    <fill>
      <patternFill patternType="solid">
        <fgColor rgb="FFF6F7F8"/>
        <bgColor rgb="FFFFFFFF"/>
      </patternFill>
    </fill>
    <fill>
      <patternFill patternType="solid">
        <fgColor rgb="FFFFFFFF"/>
        <bgColor rgb="FFF6F7F8"/>
      </patternFill>
    </fill>
    <fill>
      <patternFill patternType="solid">
        <fgColor rgb="FFFFFF00"/>
        <bgColor rgb="FFFFFF00"/>
      </patternFill>
    </fill>
    <fill>
      <patternFill patternType="solid">
        <fgColor rgb="FF1F4E78"/>
      </patternFill>
    </fill>
    <fill>
      <patternFill patternType="solid">
        <fgColor rgb="FF5B9BD5"/>
      </patternFill>
    </fill>
    <fill>
      <patternFill patternType="solid">
        <fgColor rgb="FFD9EAF7"/>
      </patternFill>
    </fill>
    <fill>
      <patternFill patternType="solid">
        <fgColor rgb="FFF3F6F9"/>
      </patternFill>
    </fill>
  </fills>
  <borders count="4">
    <border>
      <left/>
      <right/>
      <top/>
      <bottom/>
      <diagonal/>
    </border>
    <border>
      <left/>
      <right/>
      <top/>
      <bottom style="medium">
        <color rgb="FFD1D5DB"/>
      </bottom>
      <diagonal/>
    </border>
    <border>
      <left/>
      <right style="medium">
        <color rgb="FFD1D5DB"/>
      </right>
      <top/>
      <bottom style="medium">
        <color rgb="FFD1D5DB"/>
      </bottom>
      <diagonal/>
    </border>
    <border>
      <left/>
      <right/>
      <top/>
      <bottom style="thin">
        <color rgb="FFD9E1F2"/>
      </bottom>
      <diagonal/>
    </border>
  </borders>
  <cellStyleXfs count="1">
    <xf numFmtId="0" fontId="0" fillId="0" borderId="0"/>
  </cellStyleXfs>
  <cellXfs count="42">
    <xf numFmtId="0" fontId="0" fillId="0" borderId="0" xfId="0"/>
    <xf numFmtId="0" fontId="1" fillId="2" borderId="0" xfId="0" applyFont="1" applyFill="1" applyAlignment="1">
      <alignment vertical="center"/>
    </xf>
    <xf numFmtId="0" fontId="0" fillId="0" borderId="0" xfId="0" applyAlignment="1">
      <alignment horizontal="center"/>
    </xf>
    <xf numFmtId="0" fontId="0" fillId="0" borderId="0" xfId="0" applyAlignment="1">
      <alignment vertical="center" wrapText="1"/>
    </xf>
    <xf numFmtId="0" fontId="5" fillId="0" borderId="0" xfId="0" applyFont="1" applyAlignment="1">
      <alignment vertical="center" wrapText="1"/>
    </xf>
    <xf numFmtId="0" fontId="7" fillId="6" borderId="3" xfId="0" applyFont="1" applyFill="1" applyBorder="1" applyAlignment="1">
      <alignment horizontal="center"/>
    </xf>
    <xf numFmtId="3" fontId="7" fillId="6" borderId="3" xfId="0" applyNumberFormat="1" applyFont="1" applyFill="1" applyBorder="1" applyAlignment="1">
      <alignment horizontal="center"/>
    </xf>
    <xf numFmtId="0" fontId="1" fillId="2" borderId="3" xfId="0" applyFont="1" applyFill="1" applyBorder="1" applyAlignment="1">
      <alignment vertical="center" wrapText="1"/>
    </xf>
    <xf numFmtId="40" fontId="2" fillId="3" borderId="3" xfId="0" applyNumberFormat="1" applyFont="1" applyFill="1" applyBorder="1" applyAlignment="1">
      <alignment vertical="center"/>
    </xf>
    <xf numFmtId="40" fontId="3" fillId="3" borderId="3" xfId="0" applyNumberFormat="1" applyFont="1" applyFill="1" applyBorder="1" applyAlignment="1">
      <alignment vertical="center"/>
    </xf>
    <xf numFmtId="40" fontId="1" fillId="3" borderId="3" xfId="0" applyNumberFormat="1" applyFont="1" applyFill="1" applyBorder="1" applyAlignment="1">
      <alignment vertical="center"/>
    </xf>
    <xf numFmtId="0" fontId="0" fillId="0" borderId="3" xfId="0" applyBorder="1" applyAlignment="1">
      <alignment vertical="center" wrapText="1"/>
    </xf>
    <xf numFmtId="0" fontId="0" fillId="0" borderId="3" xfId="0" applyBorder="1" applyAlignment="1">
      <alignment vertical="center"/>
    </xf>
    <xf numFmtId="3" fontId="1" fillId="3" borderId="3" xfId="0" applyNumberFormat="1" applyFont="1" applyFill="1" applyBorder="1" applyAlignment="1">
      <alignment vertical="center"/>
    </xf>
    <xf numFmtId="0" fontId="4" fillId="4" borderId="3" xfId="0" applyFont="1" applyFill="1" applyBorder="1" applyAlignment="1">
      <alignment vertical="center" wrapText="1"/>
    </xf>
    <xf numFmtId="0" fontId="0" fillId="4" borderId="3" xfId="0" applyFill="1" applyBorder="1" applyAlignment="1">
      <alignment vertical="center"/>
    </xf>
    <xf numFmtId="40" fontId="1" fillId="2" borderId="3" xfId="0" applyNumberFormat="1" applyFont="1" applyFill="1" applyBorder="1" applyAlignment="1">
      <alignment vertical="center"/>
    </xf>
    <xf numFmtId="40" fontId="0" fillId="0" borderId="3" xfId="0" applyNumberFormat="1" applyBorder="1" applyAlignment="1">
      <alignment vertical="center"/>
    </xf>
    <xf numFmtId="0" fontId="0" fillId="0" borderId="0" xfId="0" applyAlignment="1">
      <alignment vertical="center"/>
    </xf>
    <xf numFmtId="0" fontId="8" fillId="2" borderId="0" xfId="0" applyFont="1" applyFill="1" applyAlignment="1">
      <alignment vertical="center" wrapText="1"/>
    </xf>
    <xf numFmtId="0" fontId="9" fillId="7" borderId="0" xfId="0" applyFont="1" applyFill="1" applyAlignment="1">
      <alignment vertical="center" wrapText="1"/>
    </xf>
    <xf numFmtId="0" fontId="9" fillId="7" borderId="0" xfId="0" applyFont="1" applyFill="1" applyAlignment="1">
      <alignment vertical="center"/>
    </xf>
    <xf numFmtId="0" fontId="7" fillId="6" borderId="0" xfId="0" applyFont="1" applyFill="1" applyAlignment="1">
      <alignment horizontal="center"/>
    </xf>
    <xf numFmtId="3" fontId="0" fillId="0" borderId="0" xfId="0" applyNumberFormat="1" applyAlignment="1">
      <alignment vertical="center"/>
    </xf>
    <xf numFmtId="172" fontId="0" fillId="0" borderId="0" xfId="0" applyNumberFormat="1" applyAlignment="1">
      <alignment vertical="center"/>
    </xf>
    <xf numFmtId="0" fontId="10" fillId="0" borderId="3" xfId="0" applyFont="1" applyBorder="1" applyAlignment="1">
      <alignment vertical="center" wrapText="1"/>
    </xf>
    <xf numFmtId="172" fontId="0" fillId="0" borderId="3" xfId="0" applyNumberFormat="1" applyBorder="1" applyAlignment="1">
      <alignment vertical="center"/>
    </xf>
    <xf numFmtId="0" fontId="10" fillId="8" borderId="0" xfId="0" applyFont="1" applyFill="1" applyAlignment="1">
      <alignment vertical="center" wrapText="1"/>
    </xf>
    <xf numFmtId="10" fontId="0" fillId="0" borderId="3" xfId="0" applyNumberFormat="1" applyBorder="1" applyAlignment="1">
      <alignment vertical="center"/>
    </xf>
    <xf numFmtId="10" fontId="0" fillId="0" borderId="0" xfId="0" applyNumberFormat="1" applyAlignment="1">
      <alignment vertical="center"/>
    </xf>
    <xf numFmtId="174" fontId="0" fillId="0" borderId="3" xfId="0" applyNumberFormat="1" applyBorder="1" applyAlignment="1">
      <alignment vertical="center"/>
    </xf>
    <xf numFmtId="173" fontId="0" fillId="0" borderId="3" xfId="0" applyNumberFormat="1" applyBorder="1" applyAlignment="1">
      <alignment vertical="center"/>
    </xf>
    <xf numFmtId="2" fontId="0" fillId="0" borderId="0" xfId="0" applyNumberFormat="1" applyAlignment="1">
      <alignment vertical="center"/>
    </xf>
    <xf numFmtId="2" fontId="10" fillId="0" borderId="3" xfId="0" applyNumberFormat="1" applyFont="1" applyBorder="1" applyAlignment="1">
      <alignment vertical="center" wrapText="1"/>
    </xf>
    <xf numFmtId="167" fontId="0" fillId="0" borderId="0" xfId="0" applyNumberFormat="1" applyAlignment="1">
      <alignment vertical="center"/>
    </xf>
    <xf numFmtId="0" fontId="0" fillId="8" borderId="0" xfId="0" applyFill="1" applyAlignment="1">
      <alignment vertical="top" wrapText="1"/>
    </xf>
    <xf numFmtId="0" fontId="0" fillId="0" borderId="0" xfId="0"/>
    <xf numFmtId="0" fontId="5" fillId="8" borderId="0" xfId="0" applyFont="1" applyFill="1" applyAlignment="1">
      <alignment vertical="top" wrapText="1"/>
    </xf>
    <xf numFmtId="0" fontId="6" fillId="5" borderId="0" xfId="0" applyFont="1" applyFill="1" applyAlignment="1">
      <alignment horizontal="left"/>
    </xf>
    <xf numFmtId="0" fontId="6" fillId="5" borderId="2" xfId="0" applyFont="1" applyFill="1" applyBorder="1" applyAlignment="1">
      <alignment horizontal="left"/>
    </xf>
    <xf numFmtId="0" fontId="0" fillId="0" borderId="1" xfId="0"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
      <sheetName val="Balance Sheet"/>
      <sheetName val="Cash Flow Statement"/>
      <sheetName val="Financial Performance and Risk "/>
      <sheetName val="Budget, Cost, Profit, Variance"/>
      <sheetName val="Financial Forecast"/>
      <sheetName val="P4_DCF_Valuation"/>
    </sheetNames>
    <sheetDataSet>
      <sheetData sheetId="0">
        <row r="27">
          <cell r="B27">
            <v>5523</v>
          </cell>
          <cell r="C27">
            <v>-627</v>
          </cell>
          <cell r="D27">
            <v>225</v>
          </cell>
          <cell r="E27">
            <v>1298</v>
          </cell>
          <cell r="F27">
            <v>1619</v>
          </cell>
        </row>
      </sheetData>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showGridLines="0" workbookViewId="0">
      <selection activeCell="C7" sqref="C7"/>
    </sheetView>
  </sheetViews>
  <sheetFormatPr defaultRowHeight="14.4" x14ac:dyDescent="0.3"/>
  <cols>
    <col min="1" max="1" width="52" customWidth="1"/>
    <col min="2" max="6" width="17" customWidth="1"/>
  </cols>
  <sheetData>
    <row r="1" spans="1:6" ht="25.05" customHeight="1" thickBot="1" x14ac:dyDescent="0.4">
      <c r="A1" s="39" t="s">
        <v>131</v>
      </c>
      <c r="B1" s="40"/>
      <c r="C1" s="40"/>
      <c r="D1" s="40"/>
      <c r="E1" s="40"/>
      <c r="F1" s="41"/>
    </row>
    <row r="2" spans="1:6" ht="18" customHeight="1" thickBot="1" x14ac:dyDescent="0.35">
      <c r="A2" s="5" t="s">
        <v>14</v>
      </c>
      <c r="B2" s="6">
        <v>78598</v>
      </c>
      <c r="C2" s="6">
        <v>87327</v>
      </c>
      <c r="D2" s="6">
        <v>68902</v>
      </c>
      <c r="E2" s="6">
        <v>61444</v>
      </c>
      <c r="F2" s="6">
        <v>59657</v>
      </c>
    </row>
    <row r="3" spans="1:6" ht="18" customHeight="1" thickBot="1" x14ac:dyDescent="0.35">
      <c r="A3" s="7" t="s">
        <v>132</v>
      </c>
      <c r="B3" s="8">
        <v>0.32879999999999998</v>
      </c>
      <c r="C3" s="8">
        <v>0.1111</v>
      </c>
      <c r="D3" s="9">
        <v>-0.21099999999999999</v>
      </c>
      <c r="E3" s="9">
        <v>-0.1082</v>
      </c>
      <c r="F3" s="9">
        <v>-2.9100000000000001E-2</v>
      </c>
    </row>
    <row r="4" spans="1:6" ht="18" customHeight="1" thickBot="1" x14ac:dyDescent="0.35">
      <c r="A4" s="7" t="s">
        <v>133</v>
      </c>
      <c r="B4" s="10">
        <v>59091</v>
      </c>
      <c r="C4" s="10">
        <v>66697</v>
      </c>
      <c r="D4" s="10">
        <v>52506</v>
      </c>
      <c r="E4" s="10">
        <v>46534</v>
      </c>
      <c r="F4" s="10">
        <v>45527</v>
      </c>
    </row>
    <row r="5" spans="1:6" ht="18" customHeight="1" thickBot="1" x14ac:dyDescent="0.35">
      <c r="A5" s="7" t="s">
        <v>134</v>
      </c>
      <c r="B5" s="10">
        <v>19507</v>
      </c>
      <c r="C5" s="10">
        <v>20630</v>
      </c>
      <c r="D5" s="10">
        <v>16396</v>
      </c>
      <c r="E5" s="10">
        <v>14910</v>
      </c>
      <c r="F5" s="10">
        <v>14130</v>
      </c>
    </row>
    <row r="6" spans="1:6" ht="18" customHeight="1" thickBot="1" x14ac:dyDescent="0.35">
      <c r="A6" s="7" t="s">
        <v>135</v>
      </c>
      <c r="B6" s="10">
        <v>9902</v>
      </c>
      <c r="C6" s="10">
        <v>11201</v>
      </c>
      <c r="D6" s="10">
        <v>10379</v>
      </c>
      <c r="E6" s="10">
        <v>9025</v>
      </c>
      <c r="F6" s="10">
        <v>8883</v>
      </c>
    </row>
    <row r="7" spans="1:6" ht="18" customHeight="1" thickBot="1" x14ac:dyDescent="0.35">
      <c r="A7" s="7" t="s">
        <v>136</v>
      </c>
      <c r="B7" s="10">
        <v>2216</v>
      </c>
      <c r="C7" s="10">
        <v>2298</v>
      </c>
      <c r="D7" s="10">
        <v>2130</v>
      </c>
      <c r="E7" s="10">
        <v>1969</v>
      </c>
      <c r="F7" s="10">
        <v>1995</v>
      </c>
    </row>
    <row r="8" spans="1:6" ht="18" customHeight="1" thickBot="1" x14ac:dyDescent="0.35">
      <c r="A8" s="7" t="s">
        <v>137</v>
      </c>
      <c r="B8" s="10">
        <v>-115</v>
      </c>
      <c r="C8" s="10">
        <v>275</v>
      </c>
      <c r="D8" s="10">
        <v>1046</v>
      </c>
      <c r="E8" s="10">
        <v>1432</v>
      </c>
      <c r="F8" s="10">
        <v>779</v>
      </c>
    </row>
    <row r="9" spans="1:6" ht="18" customHeight="1" thickBot="1" x14ac:dyDescent="0.35">
      <c r="A9" s="7" t="s">
        <v>138</v>
      </c>
      <c r="B9" s="10">
        <v>12040</v>
      </c>
      <c r="C9" s="10">
        <v>13774</v>
      </c>
      <c r="D9" s="10">
        <v>13555</v>
      </c>
      <c r="E9" s="10">
        <v>12426</v>
      </c>
      <c r="F9" s="10">
        <v>11657</v>
      </c>
    </row>
    <row r="10" spans="1:6" ht="18" customHeight="1" thickBot="1" x14ac:dyDescent="0.35">
      <c r="A10" s="7" t="s">
        <v>139</v>
      </c>
      <c r="B10" s="10">
        <v>7467</v>
      </c>
      <c r="C10" s="10">
        <v>6856</v>
      </c>
      <c r="D10" s="10">
        <v>2841</v>
      </c>
      <c r="E10" s="10">
        <v>2484</v>
      </c>
      <c r="F10" s="10">
        <v>2473</v>
      </c>
    </row>
    <row r="11" spans="1:6" ht="18" customHeight="1" thickBot="1" x14ac:dyDescent="0.35">
      <c r="A11" s="7" t="s">
        <v>140</v>
      </c>
      <c r="B11" s="10">
        <v>-506</v>
      </c>
      <c r="C11" s="10">
        <v>-631</v>
      </c>
      <c r="D11" s="10">
        <v>-868</v>
      </c>
      <c r="E11" s="10">
        <v>-929</v>
      </c>
      <c r="F11" s="10">
        <v>-924</v>
      </c>
    </row>
    <row r="12" spans="1:6" ht="18" customHeight="1" thickBot="1" x14ac:dyDescent="0.35">
      <c r="A12" s="7" t="s">
        <v>141</v>
      </c>
      <c r="B12" s="10">
        <v>257</v>
      </c>
      <c r="C12" s="10">
        <v>354</v>
      </c>
      <c r="D12" s="10">
        <v>453</v>
      </c>
      <c r="E12" s="10">
        <v>512</v>
      </c>
      <c r="F12" s="10">
        <v>406</v>
      </c>
    </row>
    <row r="13" spans="1:6" ht="18" customHeight="1" thickBot="1" x14ac:dyDescent="0.35">
      <c r="A13" s="7" t="s">
        <v>142</v>
      </c>
      <c r="B13" s="10">
        <v>960</v>
      </c>
      <c r="C13" s="10">
        <v>-4499</v>
      </c>
      <c r="D13" s="10">
        <v>78</v>
      </c>
      <c r="E13" s="10">
        <v>653</v>
      </c>
      <c r="F13" s="10">
        <v>1055</v>
      </c>
    </row>
    <row r="14" spans="1:6" ht="18" customHeight="1" thickBot="1" x14ac:dyDescent="0.35">
      <c r="A14" s="7" t="s">
        <v>143</v>
      </c>
      <c r="B14" s="10">
        <v>-109</v>
      </c>
      <c r="C14" s="10">
        <v>-152</v>
      </c>
      <c r="D14" s="10">
        <v>-300</v>
      </c>
      <c r="E14" s="10">
        <v>-148</v>
      </c>
      <c r="F14" s="10">
        <v>-188</v>
      </c>
    </row>
    <row r="15" spans="1:6" ht="18" customHeight="1" thickBot="1" x14ac:dyDescent="0.35">
      <c r="A15" s="7" t="s">
        <v>144</v>
      </c>
      <c r="B15" s="10">
        <v>-72</v>
      </c>
      <c r="C15" s="10">
        <v>-20</v>
      </c>
      <c r="D15" s="10">
        <v>-93</v>
      </c>
      <c r="E15" s="10">
        <v>16</v>
      </c>
      <c r="F15" s="10">
        <v>92</v>
      </c>
    </row>
    <row r="16" spans="1:6" ht="18" customHeight="1" thickBot="1" x14ac:dyDescent="0.35">
      <c r="A16" s="7" t="s">
        <v>145</v>
      </c>
      <c r="B16" s="10">
        <v>7997</v>
      </c>
      <c r="C16" s="10">
        <v>1908</v>
      </c>
      <c r="D16" s="10">
        <v>2111</v>
      </c>
      <c r="E16" s="10">
        <v>2588</v>
      </c>
      <c r="F16" s="10">
        <v>2914</v>
      </c>
    </row>
    <row r="17" spans="1:6" ht="18" customHeight="1" thickBot="1" x14ac:dyDescent="0.35">
      <c r="A17" s="7" t="s">
        <v>146</v>
      </c>
      <c r="B17" s="10">
        <v>-461</v>
      </c>
      <c r="C17" s="10">
        <v>-486</v>
      </c>
      <c r="D17" s="10">
        <v>-628</v>
      </c>
      <c r="E17" s="10">
        <v>-682</v>
      </c>
      <c r="F17" s="10">
        <v>-1109</v>
      </c>
    </row>
    <row r="18" spans="1:6" ht="18" customHeight="1" thickBot="1" x14ac:dyDescent="0.35">
      <c r="A18" s="7" t="s">
        <v>147</v>
      </c>
      <c r="B18" s="10">
        <v>-114</v>
      </c>
      <c r="C18" s="10">
        <v>-107</v>
      </c>
      <c r="D18" s="10">
        <v>-112</v>
      </c>
      <c r="E18" s="10">
        <v>-110</v>
      </c>
      <c r="F18" s="10">
        <v>-33</v>
      </c>
    </row>
    <row r="19" spans="1:6" ht="18" customHeight="1" thickBot="1" x14ac:dyDescent="0.35">
      <c r="A19" s="7" t="s">
        <v>148</v>
      </c>
      <c r="B19" s="10">
        <v>129</v>
      </c>
      <c r="C19" s="10">
        <v>250</v>
      </c>
      <c r="D19" s="10">
        <v>43</v>
      </c>
      <c r="E19" s="10">
        <v>65</v>
      </c>
      <c r="F19" s="10">
        <v>668</v>
      </c>
    </row>
    <row r="20" spans="1:6" ht="18" customHeight="1" thickBot="1" x14ac:dyDescent="0.35">
      <c r="A20" s="7" t="s">
        <v>149</v>
      </c>
      <c r="B20" s="10">
        <v>-103</v>
      </c>
      <c r="C20" s="10">
        <v>-375</v>
      </c>
      <c r="D20" s="10">
        <v>6</v>
      </c>
      <c r="E20" s="10" t="s">
        <v>150</v>
      </c>
      <c r="F20" s="10">
        <v>8</v>
      </c>
    </row>
    <row r="21" spans="1:6" ht="18" customHeight="1" thickBot="1" x14ac:dyDescent="0.35">
      <c r="A21" s="7" t="s">
        <v>151</v>
      </c>
      <c r="B21" s="10">
        <v>7448</v>
      </c>
      <c r="C21" s="10">
        <v>1190</v>
      </c>
      <c r="D21" s="10">
        <v>1420</v>
      </c>
      <c r="E21" s="10">
        <v>1861</v>
      </c>
      <c r="F21" s="10">
        <v>2448</v>
      </c>
    </row>
    <row r="22" spans="1:6" ht="18" customHeight="1" thickBot="1" x14ac:dyDescent="0.35">
      <c r="A22" s="7" t="s">
        <v>152</v>
      </c>
      <c r="B22" s="10">
        <v>1430</v>
      </c>
      <c r="C22" s="10">
        <v>1581</v>
      </c>
      <c r="D22" s="10">
        <v>1041</v>
      </c>
      <c r="E22" s="10">
        <v>573</v>
      </c>
      <c r="F22" s="10">
        <v>907</v>
      </c>
    </row>
    <row r="23" spans="1:6" ht="18" customHeight="1" thickBot="1" x14ac:dyDescent="0.35">
      <c r="A23" s="7" t="s">
        <v>153</v>
      </c>
      <c r="B23" s="10">
        <v>6018</v>
      </c>
      <c r="C23" s="10">
        <v>-391</v>
      </c>
      <c r="D23" s="10">
        <v>379</v>
      </c>
      <c r="E23" s="10">
        <v>1288</v>
      </c>
      <c r="F23" s="10">
        <v>1541</v>
      </c>
    </row>
    <row r="24" spans="1:6" ht="18" customHeight="1" thickBot="1" x14ac:dyDescent="0.35">
      <c r="A24" s="7" t="s">
        <v>154</v>
      </c>
      <c r="B24" s="10">
        <v>-36</v>
      </c>
      <c r="C24" s="10" t="s">
        <v>150</v>
      </c>
      <c r="D24" s="10" t="s">
        <v>150</v>
      </c>
      <c r="E24" s="10">
        <v>165</v>
      </c>
      <c r="F24" s="10">
        <v>185</v>
      </c>
    </row>
    <row r="25" spans="1:6" ht="18" customHeight="1" thickBot="1" x14ac:dyDescent="0.35">
      <c r="A25" s="7" t="s">
        <v>155</v>
      </c>
      <c r="B25" s="10">
        <v>5982</v>
      </c>
      <c r="C25" s="10">
        <v>-391</v>
      </c>
      <c r="D25" s="10">
        <v>379</v>
      </c>
      <c r="E25" s="10">
        <v>1453</v>
      </c>
      <c r="F25" s="10">
        <v>1726</v>
      </c>
    </row>
    <row r="26" spans="1:6" ht="18" customHeight="1" thickBot="1" x14ac:dyDescent="0.35">
      <c r="A26" s="7" t="s">
        <v>156</v>
      </c>
      <c r="B26" s="10">
        <v>-459</v>
      </c>
      <c r="C26" s="10">
        <v>-236</v>
      </c>
      <c r="D26" s="10">
        <v>-154</v>
      </c>
      <c r="E26" s="10">
        <v>-155</v>
      </c>
      <c r="F26" s="10">
        <v>-107</v>
      </c>
    </row>
    <row r="27" spans="1:6" ht="18" customHeight="1" thickBot="1" x14ac:dyDescent="0.35">
      <c r="A27" s="7" t="s">
        <v>157</v>
      </c>
      <c r="B27" s="10">
        <v>5523</v>
      </c>
      <c r="C27" s="10">
        <v>-627</v>
      </c>
      <c r="D27" s="10">
        <v>225</v>
      </c>
      <c r="E27" s="10">
        <v>1298</v>
      </c>
      <c r="F27" s="10">
        <v>1619</v>
      </c>
    </row>
    <row r="28" spans="1:6" ht="18" customHeight="1" thickBot="1" x14ac:dyDescent="0.35">
      <c r="A28" s="7" t="s">
        <v>158</v>
      </c>
      <c r="B28" s="10">
        <v>5523</v>
      </c>
      <c r="C28" s="10">
        <v>-627</v>
      </c>
      <c r="D28" s="10">
        <v>225</v>
      </c>
      <c r="E28" s="10">
        <v>1298</v>
      </c>
      <c r="F28" s="10">
        <v>1619</v>
      </c>
    </row>
    <row r="29" spans="1:6" ht="18" customHeight="1" thickBot="1" x14ac:dyDescent="0.35">
      <c r="A29" s="7" t="s">
        <v>159</v>
      </c>
      <c r="B29" s="10" t="s">
        <v>150</v>
      </c>
      <c r="C29" s="10" t="s">
        <v>150</v>
      </c>
      <c r="D29" s="10" t="s">
        <v>150</v>
      </c>
      <c r="E29" s="8">
        <v>4.7689000000000004</v>
      </c>
      <c r="F29" s="8">
        <v>0.24729999999999999</v>
      </c>
    </row>
    <row r="30" spans="1:6" ht="18" customHeight="1" thickBot="1" x14ac:dyDescent="0.35">
      <c r="A30" s="7" t="s">
        <v>160</v>
      </c>
      <c r="B30" s="10">
        <v>918</v>
      </c>
      <c r="C30" s="10">
        <v>902</v>
      </c>
      <c r="D30" s="10">
        <v>893</v>
      </c>
      <c r="E30" s="10">
        <v>893</v>
      </c>
      <c r="F30" s="10">
        <v>892</v>
      </c>
    </row>
    <row r="31" spans="1:6" ht="18" customHeight="1" thickBot="1" x14ac:dyDescent="0.35">
      <c r="A31" s="7" t="s">
        <v>161</v>
      </c>
      <c r="B31" s="10">
        <v>920</v>
      </c>
      <c r="C31" s="10">
        <v>902</v>
      </c>
      <c r="D31" s="10">
        <v>895</v>
      </c>
      <c r="E31" s="10">
        <v>895</v>
      </c>
      <c r="F31" s="10">
        <v>894</v>
      </c>
    </row>
    <row r="32" spans="1:6" ht="18" customHeight="1" thickBot="1" x14ac:dyDescent="0.35">
      <c r="A32" s="7" t="s">
        <v>162</v>
      </c>
      <c r="B32" s="9">
        <v>2.9999999999999997E-4</v>
      </c>
      <c r="C32" s="8">
        <v>-2.0400000000000001E-2</v>
      </c>
      <c r="D32" s="8">
        <v>-7.4000000000000003E-3</v>
      </c>
      <c r="E32" s="8">
        <v>-1E-4</v>
      </c>
      <c r="F32" s="8">
        <v>-1E-3</v>
      </c>
    </row>
    <row r="33" spans="1:6" ht="18" customHeight="1" thickBot="1" x14ac:dyDescent="0.35">
      <c r="A33" s="7" t="s">
        <v>163</v>
      </c>
      <c r="B33" s="10">
        <v>6.01</v>
      </c>
      <c r="C33" s="10">
        <v>-0.7</v>
      </c>
      <c r="D33" s="10">
        <v>0.25</v>
      </c>
      <c r="E33" s="10">
        <v>1.45</v>
      </c>
      <c r="F33" s="10">
        <v>1.82</v>
      </c>
    </row>
    <row r="34" spans="1:6" ht="18" customHeight="1" thickBot="1" x14ac:dyDescent="0.35">
      <c r="A34" s="7" t="s">
        <v>164</v>
      </c>
      <c r="B34" s="10">
        <v>6</v>
      </c>
      <c r="C34" s="10">
        <v>-0.7</v>
      </c>
      <c r="D34" s="10">
        <v>0.25</v>
      </c>
      <c r="E34" s="10">
        <v>1.45</v>
      </c>
      <c r="F34" s="10">
        <v>1.81</v>
      </c>
    </row>
    <row r="35" spans="1:6" ht="17.399999999999999" customHeight="1" x14ac:dyDescent="0.3">
      <c r="A35" s="7" t="s">
        <v>165</v>
      </c>
      <c r="B35" s="10" t="s">
        <v>150</v>
      </c>
      <c r="C35" s="10" t="s">
        <v>150</v>
      </c>
      <c r="D35" s="10" t="s">
        <v>150</v>
      </c>
      <c r="E35" s="8">
        <v>4.8</v>
      </c>
      <c r="F35" s="8">
        <v>0.24829999999999999</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7"/>
  <sheetViews>
    <sheetView showGridLines="0" workbookViewId="0">
      <selection activeCell="B2" sqref="B2"/>
    </sheetView>
  </sheetViews>
  <sheetFormatPr defaultRowHeight="14.4" x14ac:dyDescent="0.3"/>
  <cols>
    <col min="1" max="1" width="52" customWidth="1"/>
    <col min="2" max="6" width="17" customWidth="1"/>
  </cols>
  <sheetData>
    <row r="1" spans="1:6" ht="25.05" customHeight="1" x14ac:dyDescent="0.35">
      <c r="A1" s="38" t="s">
        <v>166</v>
      </c>
      <c r="B1" s="36"/>
      <c r="C1" s="36"/>
      <c r="D1" s="36"/>
      <c r="E1" s="36"/>
      <c r="F1" s="36"/>
    </row>
    <row r="2" spans="1:6" s="2" customFormat="1" ht="18" customHeight="1" thickBot="1" x14ac:dyDescent="0.35">
      <c r="A2" s="5" t="s">
        <v>167</v>
      </c>
      <c r="B2" s="5" t="s">
        <v>168</v>
      </c>
      <c r="C2" s="5" t="s">
        <v>169</v>
      </c>
      <c r="D2" s="5" t="s">
        <v>170</v>
      </c>
      <c r="E2" s="5" t="s">
        <v>171</v>
      </c>
      <c r="F2" s="5" t="s">
        <v>172</v>
      </c>
    </row>
    <row r="3" spans="1:6" ht="18" customHeight="1" thickBot="1" x14ac:dyDescent="0.35">
      <c r="A3" s="7" t="s">
        <v>173</v>
      </c>
      <c r="B3" s="10">
        <v>2624</v>
      </c>
      <c r="C3" s="10">
        <v>2516</v>
      </c>
      <c r="D3" s="10">
        <v>2624</v>
      </c>
      <c r="E3" s="10">
        <v>2914</v>
      </c>
      <c r="F3" s="10">
        <v>2670</v>
      </c>
    </row>
    <row r="4" spans="1:6" ht="18" customHeight="1" thickBot="1" x14ac:dyDescent="0.35">
      <c r="A4" s="7" t="s">
        <v>174</v>
      </c>
      <c r="B4" s="10">
        <v>208</v>
      </c>
      <c r="C4" s="10">
        <v>232</v>
      </c>
      <c r="D4" s="10">
        <v>53</v>
      </c>
      <c r="E4" s="10">
        <v>67</v>
      </c>
      <c r="F4" s="10">
        <v>89</v>
      </c>
    </row>
    <row r="5" spans="1:6" ht="18" customHeight="1" thickBot="1" x14ac:dyDescent="0.35">
      <c r="A5" s="7" t="s">
        <v>175</v>
      </c>
      <c r="B5" s="10">
        <v>1554</v>
      </c>
      <c r="C5" s="10">
        <v>1939</v>
      </c>
      <c r="D5" s="10">
        <v>1139</v>
      </c>
      <c r="E5" s="10" t="s">
        <v>150</v>
      </c>
      <c r="F5" s="10">
        <v>1327</v>
      </c>
    </row>
    <row r="6" spans="1:6" ht="18" customHeight="1" thickBot="1" x14ac:dyDescent="0.35">
      <c r="A6" s="7" t="s">
        <v>176</v>
      </c>
      <c r="B6" s="10">
        <v>4386</v>
      </c>
      <c r="C6" s="10">
        <v>4687</v>
      </c>
      <c r="D6" s="10">
        <v>3816</v>
      </c>
      <c r="E6" s="10">
        <v>2981</v>
      </c>
      <c r="F6" s="10">
        <v>4086</v>
      </c>
    </row>
    <row r="7" spans="1:6" ht="18" customHeight="1" thickBot="1" x14ac:dyDescent="0.35">
      <c r="A7" s="7" t="s">
        <v>177</v>
      </c>
      <c r="B7" s="9">
        <v>-0.2858</v>
      </c>
      <c r="C7" s="8">
        <v>6.8599999999999994E-2</v>
      </c>
      <c r="D7" s="9">
        <v>-0.18579999999999999</v>
      </c>
      <c r="E7" s="9">
        <v>-0.21879999999999999</v>
      </c>
      <c r="F7" s="8">
        <v>0.37069999999999997</v>
      </c>
    </row>
    <row r="8" spans="1:6" ht="18" customHeight="1" thickBot="1" x14ac:dyDescent="0.35">
      <c r="A8" s="7" t="s">
        <v>178</v>
      </c>
      <c r="B8" s="10">
        <v>11946</v>
      </c>
      <c r="C8" s="10">
        <v>12057</v>
      </c>
      <c r="D8" s="10">
        <v>10417</v>
      </c>
      <c r="E8" s="10">
        <v>10393</v>
      </c>
      <c r="F8" s="10">
        <v>8327</v>
      </c>
    </row>
    <row r="9" spans="1:6" ht="18" customHeight="1" thickBot="1" x14ac:dyDescent="0.35">
      <c r="A9" s="7" t="s">
        <v>179</v>
      </c>
      <c r="B9" s="10">
        <v>2187</v>
      </c>
      <c r="C9" s="10">
        <v>2485</v>
      </c>
      <c r="D9" s="10">
        <v>1761</v>
      </c>
      <c r="E9" s="10">
        <v>3996</v>
      </c>
      <c r="F9" s="10">
        <v>1623</v>
      </c>
    </row>
    <row r="10" spans="1:6" ht="18" customHeight="1" thickBot="1" x14ac:dyDescent="0.35">
      <c r="A10" s="7" t="s">
        <v>180</v>
      </c>
      <c r="B10" s="10">
        <v>14282</v>
      </c>
      <c r="C10" s="10">
        <v>14645</v>
      </c>
      <c r="D10" s="10">
        <v>12360</v>
      </c>
      <c r="E10" s="10">
        <v>14389</v>
      </c>
      <c r="F10" s="10">
        <v>10088</v>
      </c>
    </row>
    <row r="11" spans="1:6" ht="18" customHeight="1" thickBot="1" x14ac:dyDescent="0.35">
      <c r="A11" s="7" t="s">
        <v>181</v>
      </c>
      <c r="B11" s="10">
        <v>13868</v>
      </c>
      <c r="C11" s="10">
        <v>16028</v>
      </c>
      <c r="D11" s="10">
        <v>13876</v>
      </c>
      <c r="E11" s="10">
        <v>13681</v>
      </c>
      <c r="F11" s="10">
        <v>12168</v>
      </c>
    </row>
    <row r="12" spans="1:6" ht="18" customHeight="1" thickBot="1" x14ac:dyDescent="0.35">
      <c r="A12" s="7" t="s">
        <v>182</v>
      </c>
      <c r="B12" s="10">
        <v>327</v>
      </c>
      <c r="C12" s="10">
        <v>285</v>
      </c>
      <c r="D12" s="10">
        <v>225</v>
      </c>
      <c r="E12" s="10" t="s">
        <v>150</v>
      </c>
      <c r="F12" s="10">
        <v>207</v>
      </c>
    </row>
    <row r="13" spans="1:6" ht="18" customHeight="1" thickBot="1" x14ac:dyDescent="0.35">
      <c r="A13" s="7" t="s">
        <v>183</v>
      </c>
      <c r="B13" s="10">
        <v>2188</v>
      </c>
      <c r="C13" s="10">
        <v>1777</v>
      </c>
      <c r="D13" s="10">
        <v>1195</v>
      </c>
      <c r="E13" s="10">
        <v>181</v>
      </c>
      <c r="F13" s="10">
        <v>5135</v>
      </c>
    </row>
    <row r="14" spans="1:6" ht="18" customHeight="1" thickBot="1" x14ac:dyDescent="0.35">
      <c r="A14" s="7" t="s">
        <v>184</v>
      </c>
      <c r="B14" s="10">
        <v>35051</v>
      </c>
      <c r="C14" s="10">
        <v>37422</v>
      </c>
      <c r="D14" s="10">
        <v>31472</v>
      </c>
      <c r="E14" s="10">
        <v>31232</v>
      </c>
      <c r="F14" s="10">
        <v>31684</v>
      </c>
    </row>
    <row r="15" spans="1:6" ht="18" customHeight="1" thickBot="1" x14ac:dyDescent="0.35">
      <c r="A15" s="7" t="s">
        <v>185</v>
      </c>
      <c r="B15" s="10">
        <v>17871</v>
      </c>
      <c r="C15" s="10">
        <v>17908</v>
      </c>
      <c r="D15" s="10">
        <v>17639</v>
      </c>
      <c r="E15" s="10">
        <v>17773</v>
      </c>
      <c r="F15" s="10">
        <v>20325</v>
      </c>
    </row>
    <row r="16" spans="1:6" ht="18" customHeight="1" thickBot="1" x14ac:dyDescent="0.35">
      <c r="A16" s="7" t="s">
        <v>186</v>
      </c>
      <c r="B16" s="10">
        <v>12958</v>
      </c>
      <c r="C16" s="10">
        <v>8121</v>
      </c>
      <c r="D16" s="10">
        <v>7671</v>
      </c>
      <c r="E16" s="10">
        <v>6975</v>
      </c>
      <c r="F16" s="10">
        <v>6048</v>
      </c>
    </row>
    <row r="17" spans="1:6" ht="18" customHeight="1" thickBot="1" x14ac:dyDescent="0.35">
      <c r="A17" s="7" t="s">
        <v>187</v>
      </c>
      <c r="B17" s="10">
        <v>7521</v>
      </c>
      <c r="C17" s="10">
        <v>7695</v>
      </c>
      <c r="D17" s="10">
        <v>7499</v>
      </c>
      <c r="E17" s="10">
        <v>7720</v>
      </c>
      <c r="F17" s="10">
        <v>6553</v>
      </c>
    </row>
    <row r="18" spans="1:6" ht="18" customHeight="1" thickBot="1" x14ac:dyDescent="0.35">
      <c r="A18" s="7" t="s">
        <v>188</v>
      </c>
      <c r="B18" s="10">
        <v>5978</v>
      </c>
      <c r="C18" s="10">
        <v>5578</v>
      </c>
      <c r="D18" s="10">
        <v>4717</v>
      </c>
      <c r="E18" s="10">
        <v>4263</v>
      </c>
      <c r="F18" s="10">
        <v>3139</v>
      </c>
    </row>
    <row r="19" spans="1:6" ht="18" customHeight="1" thickBot="1" x14ac:dyDescent="0.35">
      <c r="A19" s="7" t="s">
        <v>189</v>
      </c>
      <c r="B19" s="10">
        <v>40</v>
      </c>
      <c r="C19" s="10">
        <v>32</v>
      </c>
      <c r="D19" s="10">
        <v>30</v>
      </c>
      <c r="E19" s="10">
        <v>29</v>
      </c>
      <c r="F19" s="10">
        <v>27</v>
      </c>
    </row>
    <row r="20" spans="1:6" ht="18" customHeight="1" thickBot="1" x14ac:dyDescent="0.35">
      <c r="A20" s="7" t="s">
        <v>190</v>
      </c>
      <c r="B20" s="10">
        <v>2600</v>
      </c>
      <c r="C20" s="10">
        <v>880</v>
      </c>
      <c r="D20" s="10">
        <v>617</v>
      </c>
      <c r="E20" s="10">
        <v>574</v>
      </c>
      <c r="F20" s="10">
        <v>544</v>
      </c>
    </row>
    <row r="21" spans="1:6" ht="18" customHeight="1" thickBot="1" x14ac:dyDescent="0.35">
      <c r="A21" s="7" t="s">
        <v>191</v>
      </c>
      <c r="B21" s="10">
        <v>5322</v>
      </c>
      <c r="C21" s="10">
        <v>6791</v>
      </c>
      <c r="D21" s="10">
        <v>7693</v>
      </c>
      <c r="E21" s="10">
        <v>11797</v>
      </c>
      <c r="F21" s="10">
        <v>7834</v>
      </c>
    </row>
    <row r="22" spans="1:6" ht="17.399999999999999" customHeight="1" x14ac:dyDescent="0.3">
      <c r="A22" s="7" t="s">
        <v>192</v>
      </c>
      <c r="B22" s="10">
        <v>87383</v>
      </c>
      <c r="C22" s="10">
        <v>84472</v>
      </c>
      <c r="D22" s="10">
        <v>77395</v>
      </c>
      <c r="E22" s="10">
        <v>80415</v>
      </c>
      <c r="F22" s="10">
        <v>76174</v>
      </c>
    </row>
    <row r="23" spans="1:6" x14ac:dyDescent="0.3">
      <c r="A23" s="11"/>
      <c r="B23" s="12"/>
      <c r="C23" s="12"/>
      <c r="D23" s="12"/>
      <c r="E23" s="12"/>
      <c r="F23" s="12"/>
    </row>
    <row r="24" spans="1:6" ht="17.399999999999999" customHeight="1" x14ac:dyDescent="0.3">
      <c r="A24" s="7" t="s">
        <v>193</v>
      </c>
      <c r="B24" s="13"/>
      <c r="C24" s="10">
        <f>(B8+C8)/2</f>
        <v>12001.5</v>
      </c>
      <c r="D24" s="10">
        <f>(C8+D8)/2</f>
        <v>11237</v>
      </c>
      <c r="E24" s="10">
        <f>(D8+E8)/2</f>
        <v>10405</v>
      </c>
      <c r="F24" s="10">
        <f>(E8+F8)/2</f>
        <v>9360</v>
      </c>
    </row>
    <row r="25" spans="1:6" x14ac:dyDescent="0.3">
      <c r="A25" s="11"/>
      <c r="B25" s="12"/>
      <c r="C25" s="12"/>
      <c r="D25" s="12"/>
      <c r="E25" s="12"/>
      <c r="F25" s="12"/>
    </row>
    <row r="26" spans="1:6" ht="17.399999999999999" customHeight="1" x14ac:dyDescent="0.3">
      <c r="A26" s="14" t="s">
        <v>194</v>
      </c>
      <c r="B26" s="15"/>
      <c r="C26" s="15"/>
      <c r="D26" s="15"/>
      <c r="E26" s="15"/>
      <c r="F26" s="15"/>
    </row>
    <row r="27" spans="1:6" s="2" customFormat="1" ht="18" customHeight="1" thickBot="1" x14ac:dyDescent="0.35">
      <c r="A27" s="7" t="s">
        <v>167</v>
      </c>
      <c r="B27" s="16" t="s">
        <v>168</v>
      </c>
      <c r="C27" s="16" t="s">
        <v>169</v>
      </c>
      <c r="D27" s="16" t="s">
        <v>170</v>
      </c>
      <c r="E27" s="16" t="s">
        <v>171</v>
      </c>
      <c r="F27" s="16" t="s">
        <v>172</v>
      </c>
    </row>
    <row r="28" spans="1:6" ht="18" customHeight="1" thickBot="1" x14ac:dyDescent="0.35">
      <c r="A28" s="7" t="s">
        <v>195</v>
      </c>
      <c r="B28" s="10">
        <v>7826</v>
      </c>
      <c r="C28" s="10">
        <v>8434</v>
      </c>
      <c r="D28" s="10">
        <v>6741</v>
      </c>
      <c r="E28" s="10">
        <v>6923</v>
      </c>
      <c r="F28" s="10">
        <v>5484</v>
      </c>
    </row>
    <row r="29" spans="1:6" ht="18" customHeight="1" thickBot="1" x14ac:dyDescent="0.35">
      <c r="A29" s="7" t="s">
        <v>196</v>
      </c>
      <c r="B29" s="10">
        <v>2374</v>
      </c>
      <c r="C29" s="10">
        <v>2054</v>
      </c>
      <c r="D29" s="10">
        <v>1414</v>
      </c>
      <c r="E29" s="10">
        <v>1579</v>
      </c>
      <c r="F29" s="10">
        <v>1671</v>
      </c>
    </row>
    <row r="30" spans="1:6" ht="18" customHeight="1" thickBot="1" x14ac:dyDescent="0.35">
      <c r="A30" s="7" t="s">
        <v>197</v>
      </c>
      <c r="B30" s="10">
        <v>248</v>
      </c>
      <c r="C30" s="10">
        <v>654</v>
      </c>
      <c r="D30" s="10" t="s">
        <v>150</v>
      </c>
      <c r="E30" s="10" t="s">
        <v>150</v>
      </c>
      <c r="F30" s="10" t="s">
        <v>150</v>
      </c>
    </row>
    <row r="31" spans="1:6" ht="18" customHeight="1" thickBot="1" x14ac:dyDescent="0.35">
      <c r="A31" s="7" t="s">
        <v>198</v>
      </c>
      <c r="B31" s="10">
        <v>3677</v>
      </c>
      <c r="C31" s="10">
        <v>3615</v>
      </c>
      <c r="D31" s="10">
        <v>2597</v>
      </c>
      <c r="E31" s="10">
        <v>3200</v>
      </c>
      <c r="F31" s="10">
        <v>3167</v>
      </c>
    </row>
    <row r="32" spans="1:6" ht="18" customHeight="1" thickBot="1" x14ac:dyDescent="0.35">
      <c r="A32" s="7" t="s">
        <v>199</v>
      </c>
      <c r="B32" s="10">
        <v>334</v>
      </c>
      <c r="C32" s="10">
        <v>329</v>
      </c>
      <c r="D32" s="10">
        <v>350</v>
      </c>
      <c r="E32" s="10">
        <v>340</v>
      </c>
      <c r="F32" s="10">
        <v>342</v>
      </c>
    </row>
    <row r="33" spans="1:6" ht="18" customHeight="1" thickBot="1" x14ac:dyDescent="0.35">
      <c r="A33" s="7" t="s">
        <v>200</v>
      </c>
      <c r="B33" s="10">
        <v>1161</v>
      </c>
      <c r="C33" s="10">
        <v>995</v>
      </c>
      <c r="D33" s="10">
        <v>442</v>
      </c>
      <c r="E33" s="10">
        <v>404</v>
      </c>
      <c r="F33" s="10">
        <v>213</v>
      </c>
    </row>
    <row r="34" spans="1:6" ht="18" customHeight="1" thickBot="1" x14ac:dyDescent="0.35">
      <c r="A34" s="7" t="s">
        <v>201</v>
      </c>
      <c r="B34" s="10">
        <v>1021</v>
      </c>
      <c r="C34" s="10">
        <v>1016</v>
      </c>
      <c r="D34" s="10">
        <v>853</v>
      </c>
      <c r="E34" s="10">
        <v>803</v>
      </c>
      <c r="F34" s="10">
        <v>709</v>
      </c>
    </row>
    <row r="35" spans="1:6" ht="18" customHeight="1" thickBot="1" x14ac:dyDescent="0.35">
      <c r="A35" s="7" t="s">
        <v>202</v>
      </c>
      <c r="B35" s="10">
        <v>3440</v>
      </c>
      <c r="C35" s="10">
        <v>3343</v>
      </c>
      <c r="D35" s="10">
        <v>3474</v>
      </c>
      <c r="E35" s="10">
        <v>3790</v>
      </c>
      <c r="F35" s="10">
        <v>4825</v>
      </c>
    </row>
    <row r="36" spans="1:6" ht="18" customHeight="1" thickBot="1" x14ac:dyDescent="0.35">
      <c r="A36" s="7" t="s">
        <v>203</v>
      </c>
      <c r="B36" s="10">
        <v>20081</v>
      </c>
      <c r="C36" s="10">
        <v>20440</v>
      </c>
      <c r="D36" s="10">
        <v>15871</v>
      </c>
      <c r="E36" s="10">
        <v>17039</v>
      </c>
      <c r="F36" s="10">
        <v>16411</v>
      </c>
    </row>
    <row r="37" spans="1:6" ht="18" customHeight="1" thickBot="1" x14ac:dyDescent="0.35">
      <c r="A37" s="7" t="s">
        <v>204</v>
      </c>
      <c r="B37" s="10">
        <v>13799</v>
      </c>
      <c r="C37" s="10">
        <v>15192</v>
      </c>
      <c r="D37" s="10">
        <v>17101</v>
      </c>
      <c r="E37" s="10">
        <v>19132</v>
      </c>
      <c r="F37" s="10">
        <v>18488</v>
      </c>
    </row>
    <row r="38" spans="1:6" ht="18" customHeight="1" thickBot="1" x14ac:dyDescent="0.35">
      <c r="A38" s="7" t="s">
        <v>205</v>
      </c>
      <c r="B38" s="10">
        <v>1078</v>
      </c>
      <c r="C38" s="10">
        <v>1159</v>
      </c>
      <c r="D38" s="10">
        <v>1299</v>
      </c>
      <c r="E38" s="10">
        <v>1323</v>
      </c>
      <c r="F38" s="10">
        <v>1212</v>
      </c>
    </row>
    <row r="39" spans="1:6" ht="18" customHeight="1" thickBot="1" x14ac:dyDescent="0.35">
      <c r="A39" s="7" t="s">
        <v>206</v>
      </c>
      <c r="B39" s="10">
        <v>218</v>
      </c>
      <c r="C39" s="10">
        <v>192</v>
      </c>
      <c r="D39" s="10">
        <v>160</v>
      </c>
      <c r="E39" s="10">
        <v>217</v>
      </c>
      <c r="F39" s="10">
        <v>238</v>
      </c>
    </row>
    <row r="40" spans="1:6" ht="18" customHeight="1" thickBot="1" x14ac:dyDescent="0.35">
      <c r="A40" s="7" t="s">
        <v>207</v>
      </c>
      <c r="B40" s="10">
        <v>6160</v>
      </c>
      <c r="C40" s="10">
        <v>2810</v>
      </c>
      <c r="D40" s="10">
        <v>2896</v>
      </c>
      <c r="E40" s="10">
        <v>2403</v>
      </c>
      <c r="F40" s="10">
        <v>1832</v>
      </c>
    </row>
    <row r="41" spans="1:6" ht="18" customHeight="1" thickBot="1" x14ac:dyDescent="0.35">
      <c r="A41" s="7" t="s">
        <v>208</v>
      </c>
      <c r="B41" s="10">
        <v>1499</v>
      </c>
      <c r="C41" s="10">
        <v>1543</v>
      </c>
      <c r="D41" s="10">
        <v>1140</v>
      </c>
      <c r="E41" s="10">
        <v>1005</v>
      </c>
      <c r="F41" s="10">
        <v>953</v>
      </c>
    </row>
    <row r="42" spans="1:6" ht="18" customHeight="1" thickBot="1" x14ac:dyDescent="0.35">
      <c r="A42" s="7" t="s">
        <v>209</v>
      </c>
      <c r="B42" s="10">
        <v>2467</v>
      </c>
      <c r="C42" s="10">
        <v>2213</v>
      </c>
      <c r="D42" s="10">
        <v>2283</v>
      </c>
      <c r="E42" s="10">
        <v>2413</v>
      </c>
      <c r="F42" s="10">
        <v>2703</v>
      </c>
    </row>
    <row r="43" spans="1:6" ht="17.399999999999999" customHeight="1" x14ac:dyDescent="0.3">
      <c r="A43" s="7" t="s">
        <v>210</v>
      </c>
      <c r="B43" s="10">
        <v>45302</v>
      </c>
      <c r="C43" s="10">
        <v>43549</v>
      </c>
      <c r="D43" s="10">
        <v>40750</v>
      </c>
      <c r="E43" s="10">
        <v>43532</v>
      </c>
      <c r="F43" s="10">
        <v>41837</v>
      </c>
    </row>
    <row r="44" spans="1:6" ht="17.399999999999999" customHeight="1" x14ac:dyDescent="0.3">
      <c r="A44" s="7" t="s">
        <v>211</v>
      </c>
      <c r="B44" s="10">
        <f>B30+B31+B37</f>
        <v>17724</v>
      </c>
      <c r="C44" s="10">
        <f>C30+C31+C37</f>
        <v>19461</v>
      </c>
      <c r="D44" s="10">
        <f>D31+D37</f>
        <v>19698</v>
      </c>
      <c r="E44" s="10">
        <f>E31+E37</f>
        <v>22332</v>
      </c>
      <c r="F44" s="10">
        <f>F31+F37</f>
        <v>21655</v>
      </c>
    </row>
    <row r="45" spans="1:6" x14ac:dyDescent="0.3">
      <c r="A45" s="11"/>
      <c r="B45" s="12"/>
      <c r="C45" s="12"/>
      <c r="D45" s="12"/>
      <c r="E45" s="12"/>
      <c r="F45" s="12"/>
    </row>
    <row r="46" spans="1:6" ht="17.399999999999999" customHeight="1" x14ac:dyDescent="0.3">
      <c r="A46" s="14" t="s">
        <v>212</v>
      </c>
      <c r="B46" s="15"/>
      <c r="C46" s="15"/>
      <c r="D46" s="15"/>
      <c r="E46" s="15"/>
      <c r="F46" s="15"/>
    </row>
    <row r="47" spans="1:6" s="2" customFormat="1" ht="18" customHeight="1" thickBot="1" x14ac:dyDescent="0.35">
      <c r="A47" s="7" t="s">
        <v>167</v>
      </c>
      <c r="B47" s="16" t="s">
        <v>168</v>
      </c>
      <c r="C47" s="16" t="s">
        <v>169</v>
      </c>
      <c r="D47" s="16" t="s">
        <v>170</v>
      </c>
      <c r="E47" s="16" t="s">
        <v>171</v>
      </c>
      <c r="F47" s="16" t="s">
        <v>172</v>
      </c>
    </row>
    <row r="48" spans="1:6" ht="18" customHeight="1" thickBot="1" x14ac:dyDescent="0.35">
      <c r="A48" s="7" t="s">
        <v>213</v>
      </c>
      <c r="B48" s="10">
        <v>1176</v>
      </c>
      <c r="C48" s="10">
        <v>1144</v>
      </c>
      <c r="D48" s="10">
        <v>1142</v>
      </c>
      <c r="E48" s="10">
        <v>1142</v>
      </c>
      <c r="F48" s="10">
        <v>1142</v>
      </c>
    </row>
    <row r="49" spans="1:6" ht="18" customHeight="1" thickBot="1" x14ac:dyDescent="0.35">
      <c r="A49" s="7" t="s">
        <v>214</v>
      </c>
      <c r="B49" s="10">
        <v>40365</v>
      </c>
      <c r="C49" s="10">
        <v>35453</v>
      </c>
      <c r="D49" s="10">
        <v>32517</v>
      </c>
      <c r="E49" s="10">
        <v>30883</v>
      </c>
      <c r="F49" s="10">
        <v>29931</v>
      </c>
    </row>
    <row r="50" spans="1:6" ht="18" customHeight="1" thickBot="1" x14ac:dyDescent="0.35">
      <c r="A50" s="7" t="s">
        <v>215</v>
      </c>
      <c r="B50" s="10">
        <v>-749</v>
      </c>
      <c r="C50" s="10">
        <v>2976</v>
      </c>
      <c r="D50" s="10">
        <v>1618</v>
      </c>
      <c r="E50" s="10">
        <v>3574</v>
      </c>
      <c r="F50" s="10">
        <v>2121</v>
      </c>
    </row>
    <row r="51" spans="1:6" ht="18" customHeight="1" thickBot="1" x14ac:dyDescent="0.35">
      <c r="A51" s="7" t="s">
        <v>216</v>
      </c>
      <c r="B51" s="10">
        <v>40792</v>
      </c>
      <c r="C51" s="10">
        <v>39573</v>
      </c>
      <c r="D51" s="10">
        <v>35277</v>
      </c>
      <c r="E51" s="10">
        <v>35599</v>
      </c>
      <c r="F51" s="10">
        <v>33194</v>
      </c>
    </row>
    <row r="52" spans="1:6" ht="18" customHeight="1" thickBot="1" x14ac:dyDescent="0.35">
      <c r="A52" s="7" t="s">
        <v>217</v>
      </c>
      <c r="B52" s="10">
        <v>1289</v>
      </c>
      <c r="C52" s="10">
        <v>1350</v>
      </c>
      <c r="D52" s="10">
        <v>1368</v>
      </c>
      <c r="E52" s="10">
        <v>1284</v>
      </c>
      <c r="F52" s="10">
        <v>1143</v>
      </c>
    </row>
    <row r="53" spans="1:6" ht="18" customHeight="1" thickBot="1" x14ac:dyDescent="0.35">
      <c r="A53" s="7" t="s">
        <v>212</v>
      </c>
      <c r="B53" s="10">
        <v>42081</v>
      </c>
      <c r="C53" s="10">
        <v>40923</v>
      </c>
      <c r="D53" s="10">
        <v>36645</v>
      </c>
      <c r="E53" s="10">
        <v>36883</v>
      </c>
      <c r="F53" s="10">
        <v>34337</v>
      </c>
    </row>
    <row r="54" spans="1:6" ht="17.399999999999999" customHeight="1" x14ac:dyDescent="0.3">
      <c r="A54" s="7" t="s">
        <v>218</v>
      </c>
      <c r="B54" s="10">
        <v>87383</v>
      </c>
      <c r="C54" s="10">
        <v>84472</v>
      </c>
      <c r="D54" s="10">
        <v>77395</v>
      </c>
      <c r="E54" s="10">
        <v>80415</v>
      </c>
      <c r="F54" s="10">
        <v>76174</v>
      </c>
    </row>
    <row r="55" spans="1:6" ht="17.399999999999999" customHeight="1" x14ac:dyDescent="0.3">
      <c r="A55" s="7"/>
      <c r="B55" s="12"/>
      <c r="C55" s="12"/>
      <c r="D55" s="12"/>
      <c r="E55" s="12"/>
      <c r="F55" s="12"/>
    </row>
    <row r="56" spans="1:6" x14ac:dyDescent="0.3">
      <c r="A56" s="11"/>
      <c r="B56" s="12"/>
      <c r="C56" s="12"/>
      <c r="D56" s="12"/>
      <c r="E56" s="12"/>
      <c r="F56" s="12"/>
    </row>
    <row r="57" spans="1:6" ht="17.399999999999999" customHeight="1" x14ac:dyDescent="0.3">
      <c r="A57" s="7" t="s">
        <v>219</v>
      </c>
      <c r="B57" s="17">
        <f>B22-B54</f>
        <v>0</v>
      </c>
      <c r="C57" s="17">
        <f>C22-C54</f>
        <v>0</v>
      </c>
      <c r="D57" s="17">
        <f>D22-D54</f>
        <v>0</v>
      </c>
      <c r="E57" s="17">
        <f>E22-E54</f>
        <v>0</v>
      </c>
      <c r="F57" s="17">
        <f>F22-F54</f>
        <v>0</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0"/>
  <sheetViews>
    <sheetView showGridLines="0" workbookViewId="0">
      <selection activeCell="C7" sqref="C7"/>
    </sheetView>
  </sheetViews>
  <sheetFormatPr defaultRowHeight="14.4" x14ac:dyDescent="0.3"/>
  <cols>
    <col min="1" max="1" width="52" customWidth="1"/>
    <col min="2" max="6" width="17" customWidth="1"/>
  </cols>
  <sheetData>
    <row r="1" spans="1:6" ht="25.05" customHeight="1" x14ac:dyDescent="0.35">
      <c r="A1" s="38" t="s">
        <v>220</v>
      </c>
      <c r="B1" s="36"/>
      <c r="C1" s="36"/>
      <c r="D1" s="36"/>
      <c r="E1" s="36"/>
      <c r="F1" s="36"/>
    </row>
    <row r="2" spans="1:6" s="2" customFormat="1" ht="18" customHeight="1" thickBot="1" x14ac:dyDescent="0.35">
      <c r="A2" s="5" t="s">
        <v>167</v>
      </c>
      <c r="B2" s="5" t="s">
        <v>168</v>
      </c>
      <c r="C2" s="5" t="s">
        <v>169</v>
      </c>
      <c r="D2" s="5" t="s">
        <v>170</v>
      </c>
      <c r="E2" s="5" t="s">
        <v>171</v>
      </c>
      <c r="F2" s="5" t="s">
        <v>172</v>
      </c>
    </row>
    <row r="3" spans="1:6" ht="18" customHeight="1" thickBot="1" x14ac:dyDescent="0.35">
      <c r="A3" s="7" t="s">
        <v>157</v>
      </c>
      <c r="B3" s="10">
        <f>'[1]Income Statement'!B27</f>
        <v>5523</v>
      </c>
      <c r="C3" s="10">
        <f>'[1]Income Statement'!C27</f>
        <v>-627</v>
      </c>
      <c r="D3" s="10">
        <f>'[1]Income Statement'!D27</f>
        <v>225</v>
      </c>
      <c r="E3" s="10">
        <f>'[1]Income Statement'!E27</f>
        <v>1298</v>
      </c>
      <c r="F3" s="10">
        <f>'[1]Income Statement'!F27</f>
        <v>1619</v>
      </c>
    </row>
    <row r="4" spans="1:6" ht="18" customHeight="1" thickBot="1" x14ac:dyDescent="0.35">
      <c r="A4" s="7" t="s">
        <v>221</v>
      </c>
      <c r="B4" s="10">
        <v>3518</v>
      </c>
      <c r="C4" s="10">
        <v>3800</v>
      </c>
      <c r="D4" s="10">
        <v>3769</v>
      </c>
      <c r="E4" s="10">
        <v>3647</v>
      </c>
      <c r="F4" s="10">
        <v>3580</v>
      </c>
    </row>
    <row r="5" spans="1:6" ht="18" customHeight="1" thickBot="1" x14ac:dyDescent="0.35">
      <c r="A5" s="7" t="s">
        <v>222</v>
      </c>
      <c r="B5" s="10">
        <v>25</v>
      </c>
      <c r="C5" s="10">
        <v>27</v>
      </c>
      <c r="D5" s="10">
        <v>29</v>
      </c>
      <c r="E5" s="10" t="s">
        <v>150</v>
      </c>
      <c r="F5" s="10" t="s">
        <v>150</v>
      </c>
    </row>
    <row r="6" spans="1:6" ht="18" customHeight="1" thickBot="1" x14ac:dyDescent="0.35">
      <c r="A6" s="7" t="s">
        <v>223</v>
      </c>
      <c r="B6" s="10">
        <v>-611</v>
      </c>
      <c r="C6" s="10">
        <v>-1</v>
      </c>
      <c r="D6" s="10">
        <v>-103</v>
      </c>
      <c r="E6" s="10">
        <v>-57</v>
      </c>
      <c r="F6" s="10">
        <v>-842</v>
      </c>
    </row>
    <row r="7" spans="1:6" ht="18" customHeight="1" thickBot="1" x14ac:dyDescent="0.35">
      <c r="A7" s="7" t="s">
        <v>224</v>
      </c>
      <c r="B7" s="10">
        <v>144</v>
      </c>
      <c r="C7" s="10">
        <v>373</v>
      </c>
      <c r="D7" s="10">
        <v>1143</v>
      </c>
      <c r="E7" s="10">
        <v>753</v>
      </c>
      <c r="F7" s="10">
        <v>404</v>
      </c>
    </row>
    <row r="8" spans="1:6" ht="18" customHeight="1" thickBot="1" x14ac:dyDescent="0.35">
      <c r="A8" s="7" t="s">
        <v>225</v>
      </c>
      <c r="B8" s="10" t="s">
        <v>150</v>
      </c>
      <c r="C8" s="10">
        <v>4499</v>
      </c>
      <c r="D8" s="10">
        <v>544</v>
      </c>
      <c r="E8" s="10">
        <v>-212</v>
      </c>
      <c r="F8" s="10">
        <v>276</v>
      </c>
    </row>
    <row r="9" spans="1:6" ht="18" customHeight="1" thickBot="1" x14ac:dyDescent="0.35">
      <c r="A9" s="7" t="s">
        <v>226</v>
      </c>
      <c r="B9" s="10">
        <v>-1</v>
      </c>
      <c r="C9" s="10">
        <v>1688</v>
      </c>
      <c r="D9" s="10">
        <v>5</v>
      </c>
      <c r="E9" s="10">
        <v>398</v>
      </c>
      <c r="F9" s="10">
        <v>-230</v>
      </c>
    </row>
    <row r="10" spans="1:6" ht="18" customHeight="1" thickBot="1" x14ac:dyDescent="0.35">
      <c r="A10" s="7" t="s">
        <v>227</v>
      </c>
      <c r="B10" s="10">
        <v>-1272</v>
      </c>
      <c r="C10" s="10">
        <v>219</v>
      </c>
      <c r="D10" s="10">
        <v>1443</v>
      </c>
      <c r="E10" s="10">
        <v>42</v>
      </c>
      <c r="F10" s="10">
        <v>530</v>
      </c>
    </row>
    <row r="11" spans="1:6" ht="18" customHeight="1" thickBot="1" x14ac:dyDescent="0.35">
      <c r="A11" s="7" t="s">
        <v>228</v>
      </c>
      <c r="B11" s="10">
        <v>-3304</v>
      </c>
      <c r="C11" s="10">
        <v>-1991</v>
      </c>
      <c r="D11" s="10">
        <v>1896</v>
      </c>
      <c r="E11" s="10">
        <v>222</v>
      </c>
      <c r="F11" s="10">
        <v>263</v>
      </c>
    </row>
    <row r="12" spans="1:6" ht="18" customHeight="1" thickBot="1" x14ac:dyDescent="0.35">
      <c r="A12" s="7" t="s">
        <v>229</v>
      </c>
      <c r="B12" s="10" t="s">
        <v>150</v>
      </c>
      <c r="C12" s="10">
        <v>451</v>
      </c>
      <c r="D12" s="10">
        <v>-1544</v>
      </c>
      <c r="E12" s="10">
        <v>96</v>
      </c>
      <c r="F12" s="10">
        <v>-736</v>
      </c>
    </row>
    <row r="13" spans="1:6" ht="18" customHeight="1" thickBot="1" x14ac:dyDescent="0.35">
      <c r="A13" s="7" t="s">
        <v>230</v>
      </c>
      <c r="B13" s="10">
        <v>3223</v>
      </c>
      <c r="C13" s="10">
        <v>-729</v>
      </c>
      <c r="D13" s="10">
        <v>704</v>
      </c>
      <c r="E13" s="10">
        <v>511</v>
      </c>
      <c r="F13" s="10">
        <v>564</v>
      </c>
    </row>
    <row r="14" spans="1:6" ht="18" customHeight="1" thickBot="1" x14ac:dyDescent="0.35">
      <c r="A14" s="7" t="s">
        <v>231</v>
      </c>
      <c r="B14" s="10">
        <v>7245</v>
      </c>
      <c r="C14" s="10">
        <v>7709</v>
      </c>
      <c r="D14" s="10">
        <v>8111</v>
      </c>
      <c r="E14" s="10">
        <v>6946</v>
      </c>
      <c r="F14" s="10">
        <v>5610</v>
      </c>
    </row>
    <row r="15" spans="1:6" ht="17.399999999999999" customHeight="1" x14ac:dyDescent="0.3">
      <c r="A15" s="7" t="s">
        <v>232</v>
      </c>
      <c r="B15" s="8">
        <v>0.33839999999999998</v>
      </c>
      <c r="C15" s="8">
        <v>6.4000000000000001E-2</v>
      </c>
      <c r="D15" s="8">
        <v>5.21E-2</v>
      </c>
      <c r="E15" s="9">
        <v>-0.14360000000000001</v>
      </c>
      <c r="F15" s="9">
        <v>-0.1923</v>
      </c>
    </row>
    <row r="16" spans="1:6" x14ac:dyDescent="0.3">
      <c r="A16" s="11"/>
      <c r="B16" s="12"/>
      <c r="C16" s="12"/>
      <c r="D16" s="12"/>
      <c r="E16" s="12"/>
      <c r="F16" s="12"/>
    </row>
    <row r="17" spans="1:6" ht="17.399999999999999" customHeight="1" x14ac:dyDescent="0.3">
      <c r="A17" s="14" t="s">
        <v>233</v>
      </c>
      <c r="B17" s="15"/>
      <c r="C17" s="15"/>
      <c r="D17" s="15"/>
      <c r="E17" s="15"/>
      <c r="F17" s="15"/>
    </row>
    <row r="18" spans="1:6" s="2" customFormat="1" ht="18" customHeight="1" thickBot="1" x14ac:dyDescent="0.35">
      <c r="A18" s="7" t="s">
        <v>167</v>
      </c>
      <c r="B18" s="16" t="s">
        <v>168</v>
      </c>
      <c r="C18" s="16" t="s">
        <v>169</v>
      </c>
      <c r="D18" s="16" t="s">
        <v>170</v>
      </c>
      <c r="E18" s="16" t="s">
        <v>171</v>
      </c>
      <c r="F18" s="16" t="s">
        <v>172</v>
      </c>
    </row>
    <row r="19" spans="1:6" ht="18" customHeight="1" thickBot="1" x14ac:dyDescent="0.35">
      <c r="A19" s="7" t="s">
        <v>234</v>
      </c>
      <c r="B19" s="10">
        <v>-3532</v>
      </c>
      <c r="C19" s="10">
        <v>-4375</v>
      </c>
      <c r="D19" s="10">
        <v>-5395</v>
      </c>
      <c r="E19" s="10">
        <v>-6198</v>
      </c>
      <c r="F19" s="10">
        <v>-4267</v>
      </c>
    </row>
    <row r="20" spans="1:6" ht="18" customHeight="1" thickBot="1" x14ac:dyDescent="0.35">
      <c r="A20" s="7" t="s">
        <v>235</v>
      </c>
      <c r="B20" s="10">
        <v>-600</v>
      </c>
      <c r="C20" s="10">
        <v>-13</v>
      </c>
      <c r="D20" s="10">
        <v>-5</v>
      </c>
      <c r="E20" s="10">
        <v>-202</v>
      </c>
      <c r="F20" s="10">
        <v>-1</v>
      </c>
    </row>
    <row r="21" spans="1:6" ht="18" customHeight="1" thickBot="1" x14ac:dyDescent="0.35">
      <c r="A21" s="7" t="s">
        <v>236</v>
      </c>
      <c r="B21" s="10">
        <v>1030</v>
      </c>
      <c r="C21" s="10">
        <v>691</v>
      </c>
      <c r="D21" s="10">
        <v>32</v>
      </c>
      <c r="E21" s="10">
        <v>75</v>
      </c>
      <c r="F21" s="10">
        <v>871</v>
      </c>
    </row>
    <row r="22" spans="1:6" ht="18" customHeight="1" thickBot="1" x14ac:dyDescent="0.35">
      <c r="A22" s="7" t="s">
        <v>237</v>
      </c>
      <c r="B22" s="10">
        <v>-994</v>
      </c>
      <c r="C22" s="10">
        <v>-1273</v>
      </c>
      <c r="D22" s="10">
        <v>-1063</v>
      </c>
      <c r="E22" s="10">
        <v>436</v>
      </c>
      <c r="F22" s="10">
        <v>-1121</v>
      </c>
    </row>
    <row r="23" spans="1:6" ht="18" customHeight="1" thickBot="1" x14ac:dyDescent="0.35">
      <c r="A23" s="7" t="s">
        <v>238</v>
      </c>
      <c r="B23" s="10">
        <v>1474</v>
      </c>
      <c r="C23" s="10">
        <v>1192</v>
      </c>
      <c r="D23" s="10">
        <v>1440</v>
      </c>
      <c r="E23" s="10">
        <v>808</v>
      </c>
      <c r="F23" s="10">
        <v>1310</v>
      </c>
    </row>
    <row r="24" spans="1:6" ht="17.399999999999999" customHeight="1" x14ac:dyDescent="0.3">
      <c r="A24" s="7" t="s">
        <v>239</v>
      </c>
      <c r="B24" s="10">
        <v>-2622</v>
      </c>
      <c r="C24" s="10">
        <v>-3778</v>
      </c>
      <c r="D24" s="10">
        <v>-4991</v>
      </c>
      <c r="E24" s="10">
        <v>-5081</v>
      </c>
      <c r="F24" s="10">
        <v>-3208</v>
      </c>
    </row>
    <row r="25" spans="1:6" x14ac:dyDescent="0.3">
      <c r="A25" s="11"/>
      <c r="B25" s="12"/>
      <c r="C25" s="12"/>
      <c r="D25" s="12"/>
      <c r="E25" s="12"/>
      <c r="F25" s="12"/>
    </row>
    <row r="26" spans="1:6" ht="17.399999999999999" customHeight="1" x14ac:dyDescent="0.3">
      <c r="A26" s="14" t="s">
        <v>240</v>
      </c>
      <c r="B26" s="15"/>
      <c r="C26" s="15"/>
      <c r="D26" s="15"/>
      <c r="E26" s="15"/>
      <c r="F26" s="15"/>
    </row>
    <row r="27" spans="1:6" s="2" customFormat="1" ht="18" customHeight="1" thickBot="1" x14ac:dyDescent="0.35">
      <c r="A27" s="7" t="s">
        <v>167</v>
      </c>
      <c r="B27" s="16" t="s">
        <v>168</v>
      </c>
      <c r="C27" s="16" t="s">
        <v>169</v>
      </c>
      <c r="D27" s="16" t="s">
        <v>170</v>
      </c>
      <c r="E27" s="16" t="s">
        <v>171</v>
      </c>
      <c r="F27" s="16" t="s">
        <v>172</v>
      </c>
    </row>
    <row r="28" spans="1:6" ht="18" customHeight="1" thickBot="1" x14ac:dyDescent="0.35">
      <c r="A28" s="7" t="s">
        <v>241</v>
      </c>
      <c r="B28" s="10">
        <v>7627</v>
      </c>
      <c r="C28" s="10">
        <v>10896</v>
      </c>
      <c r="D28" s="10">
        <v>9503</v>
      </c>
      <c r="E28" s="10">
        <v>6362</v>
      </c>
      <c r="F28" s="10">
        <v>6394</v>
      </c>
    </row>
    <row r="29" spans="1:6" ht="18" customHeight="1" thickBot="1" x14ac:dyDescent="0.35">
      <c r="A29" s="7" t="s">
        <v>242</v>
      </c>
      <c r="B29" s="10">
        <v>-10772</v>
      </c>
      <c r="C29" s="10">
        <v>-10330</v>
      </c>
      <c r="D29" s="10">
        <v>-9244</v>
      </c>
      <c r="E29" s="10">
        <v>-4579</v>
      </c>
      <c r="F29" s="10">
        <v>-6369</v>
      </c>
    </row>
    <row r="30" spans="1:6" ht="18" customHeight="1" thickBot="1" x14ac:dyDescent="0.35">
      <c r="A30" s="7" t="s">
        <v>243</v>
      </c>
      <c r="B30" s="10">
        <v>-3145</v>
      </c>
      <c r="C30" s="10">
        <v>566</v>
      </c>
      <c r="D30" s="10">
        <v>259</v>
      </c>
      <c r="E30" s="10">
        <v>1783</v>
      </c>
      <c r="F30" s="10">
        <v>25</v>
      </c>
    </row>
    <row r="31" spans="1:6" ht="18" customHeight="1" thickBot="1" x14ac:dyDescent="0.35">
      <c r="A31" s="7" t="s">
        <v>244</v>
      </c>
      <c r="B31" s="10" t="s">
        <v>150</v>
      </c>
      <c r="C31" s="10">
        <v>-1331</v>
      </c>
      <c r="D31" s="10">
        <v>-70</v>
      </c>
      <c r="E31" s="10">
        <v>-46</v>
      </c>
      <c r="F31" s="10">
        <v>-355</v>
      </c>
    </row>
    <row r="32" spans="1:6" ht="18" customHeight="1" thickBot="1" x14ac:dyDescent="0.35">
      <c r="A32" s="7" t="s">
        <v>245</v>
      </c>
      <c r="B32" s="10">
        <v>-3031</v>
      </c>
      <c r="C32" s="10">
        <v>-3072</v>
      </c>
      <c r="D32" s="10">
        <v>-3034</v>
      </c>
      <c r="E32" s="10">
        <v>-3035</v>
      </c>
      <c r="F32" s="10">
        <v>-2086</v>
      </c>
    </row>
    <row r="33" spans="1:6" ht="18" customHeight="1" thickBot="1" x14ac:dyDescent="0.35">
      <c r="A33" s="7" t="s">
        <v>246</v>
      </c>
      <c r="B33" s="10">
        <v>-281</v>
      </c>
      <c r="C33" s="10">
        <v>-176</v>
      </c>
      <c r="D33" s="10">
        <v>-60</v>
      </c>
      <c r="E33" s="10">
        <v>-249</v>
      </c>
      <c r="F33" s="10" t="s">
        <v>150</v>
      </c>
    </row>
    <row r="34" spans="1:6" ht="17.399999999999999" customHeight="1" x14ac:dyDescent="0.3">
      <c r="A34" s="7" t="s">
        <v>247</v>
      </c>
      <c r="B34" s="10">
        <v>-6457</v>
      </c>
      <c r="C34" s="10">
        <v>-4013</v>
      </c>
      <c r="D34" s="10">
        <v>-2905</v>
      </c>
      <c r="E34" s="10">
        <v>-1547</v>
      </c>
      <c r="F34" s="10">
        <v>-2416</v>
      </c>
    </row>
    <row r="35" spans="1:6" x14ac:dyDescent="0.3">
      <c r="A35" s="11"/>
      <c r="B35" s="12"/>
      <c r="C35" s="12"/>
      <c r="D35" s="12"/>
      <c r="E35" s="12"/>
      <c r="F35" s="12"/>
    </row>
    <row r="36" spans="1:6" x14ac:dyDescent="0.3">
      <c r="A36" s="11"/>
      <c r="B36" s="12"/>
      <c r="C36" s="12"/>
      <c r="D36" s="12"/>
      <c r="E36" s="12"/>
      <c r="F36" s="12"/>
    </row>
    <row r="37" spans="1:6" s="2" customFormat="1" ht="18" customHeight="1" thickBot="1" x14ac:dyDescent="0.35">
      <c r="A37" s="7" t="s">
        <v>167</v>
      </c>
      <c r="B37" s="16" t="s">
        <v>168</v>
      </c>
      <c r="C37" s="16" t="s">
        <v>169</v>
      </c>
      <c r="D37" s="16" t="s">
        <v>170</v>
      </c>
      <c r="E37" s="16" t="s">
        <v>171</v>
      </c>
      <c r="F37" s="16" t="s">
        <v>172</v>
      </c>
    </row>
    <row r="38" spans="1:6" ht="18" customHeight="1" thickBot="1" x14ac:dyDescent="0.35">
      <c r="A38" s="7" t="s">
        <v>248</v>
      </c>
      <c r="B38" s="10">
        <v>131</v>
      </c>
      <c r="C38" s="10">
        <v>-25</v>
      </c>
      <c r="D38" s="10">
        <v>-106</v>
      </c>
      <c r="E38" s="10">
        <v>-21</v>
      </c>
      <c r="F38" s="10">
        <v>-88</v>
      </c>
    </row>
    <row r="39" spans="1:6" ht="18" customHeight="1" thickBot="1" x14ac:dyDescent="0.35">
      <c r="A39" s="7" t="s">
        <v>249</v>
      </c>
      <c r="B39" s="10">
        <v>-8</v>
      </c>
      <c r="C39" s="10">
        <v>-1</v>
      </c>
      <c r="D39" s="10" t="s">
        <v>150</v>
      </c>
      <c r="E39" s="10" t="s">
        <v>150</v>
      </c>
      <c r="F39" s="10">
        <v>-1</v>
      </c>
    </row>
    <row r="40" spans="1:6" ht="17.399999999999999" customHeight="1" x14ac:dyDescent="0.3">
      <c r="A40" s="7" t="s">
        <v>250</v>
      </c>
      <c r="B40" s="10">
        <v>-1711</v>
      </c>
      <c r="C40" s="10">
        <v>-108</v>
      </c>
      <c r="D40" s="10">
        <v>109</v>
      </c>
      <c r="E40" s="10">
        <v>297</v>
      </c>
      <c r="F40" s="10">
        <v>-103</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8"/>
  <sheetViews>
    <sheetView showGridLines="0" tabSelected="1" topLeftCell="A166" workbookViewId="0">
      <selection activeCell="D170" sqref="D170"/>
    </sheetView>
  </sheetViews>
  <sheetFormatPr defaultRowHeight="14.4" x14ac:dyDescent="0.3"/>
  <cols>
    <col min="1" max="1" width="52" customWidth="1"/>
    <col min="2" max="2" width="17" customWidth="1"/>
    <col min="3" max="3" width="20.109375" customWidth="1"/>
    <col min="4" max="4" width="20.33203125" customWidth="1"/>
    <col min="5" max="5" width="17" customWidth="1"/>
  </cols>
  <sheetData>
    <row r="1" spans="1:5" ht="28.05" customHeight="1" x14ac:dyDescent="0.35">
      <c r="A1" s="38" t="s">
        <v>0</v>
      </c>
      <c r="B1" s="36"/>
      <c r="C1" s="36"/>
      <c r="D1" s="36"/>
      <c r="E1" s="36"/>
    </row>
    <row r="2" spans="1:5" x14ac:dyDescent="0.3">
      <c r="A2" s="3"/>
      <c r="B2" s="18"/>
      <c r="C2" s="18"/>
      <c r="D2" s="18"/>
      <c r="E2" s="18"/>
    </row>
    <row r="3" spans="1:5" ht="43.2" customHeight="1" x14ac:dyDescent="0.3">
      <c r="A3" s="19" t="s">
        <v>1</v>
      </c>
      <c r="B3" s="1"/>
      <c r="C3" s="18"/>
      <c r="D3" s="18"/>
      <c r="E3" s="18"/>
    </row>
    <row r="4" spans="1:5" x14ac:dyDescent="0.3">
      <c r="A4" s="3"/>
      <c r="B4" s="18"/>
      <c r="C4" s="18"/>
      <c r="D4" s="18"/>
      <c r="E4" s="18"/>
    </row>
    <row r="5" spans="1:5" ht="17.399999999999999" customHeight="1" x14ac:dyDescent="0.3">
      <c r="A5" s="20" t="s">
        <v>2</v>
      </c>
      <c r="B5" s="21"/>
      <c r="C5" s="21"/>
      <c r="D5" s="21"/>
      <c r="E5" s="21"/>
    </row>
    <row r="6" spans="1:5" x14ac:dyDescent="0.3">
      <c r="A6" s="3"/>
      <c r="B6" s="18"/>
      <c r="C6" s="18"/>
      <c r="D6" s="18"/>
      <c r="E6" s="18"/>
    </row>
    <row r="7" spans="1:5" ht="17.399999999999999" customHeight="1" x14ac:dyDescent="0.3">
      <c r="A7" s="22" t="s">
        <v>3</v>
      </c>
      <c r="B7" s="22" t="s">
        <v>4</v>
      </c>
      <c r="C7" s="22" t="s">
        <v>5</v>
      </c>
      <c r="D7" s="22"/>
      <c r="E7" s="22"/>
    </row>
    <row r="8" spans="1:5" x14ac:dyDescent="0.3">
      <c r="A8" s="3" t="s">
        <v>6</v>
      </c>
      <c r="B8" s="23">
        <v>100000</v>
      </c>
      <c r="C8" s="23">
        <v>105000</v>
      </c>
      <c r="D8" s="23"/>
      <c r="E8" s="18"/>
    </row>
    <row r="9" spans="1:5" ht="15.6" customHeight="1" x14ac:dyDescent="0.3">
      <c r="A9" s="3" t="s">
        <v>7</v>
      </c>
      <c r="B9" s="24">
        <v>250</v>
      </c>
      <c r="C9" s="24">
        <v>245</v>
      </c>
      <c r="D9" s="24"/>
      <c r="E9" s="18"/>
    </row>
    <row r="10" spans="1:5" ht="16.8" customHeight="1" x14ac:dyDescent="0.3">
      <c r="A10" s="3" t="s">
        <v>8</v>
      </c>
      <c r="B10" s="24">
        <v>85</v>
      </c>
      <c r="C10" s="24">
        <v>90</v>
      </c>
      <c r="D10" s="24"/>
      <c r="E10" s="18"/>
    </row>
    <row r="11" spans="1:5" ht="14.4" customHeight="1" x14ac:dyDescent="0.3">
      <c r="A11" s="3" t="s">
        <v>9</v>
      </c>
      <c r="B11" s="24">
        <v>35</v>
      </c>
      <c r="C11" s="24">
        <v>37</v>
      </c>
      <c r="D11" s="24"/>
      <c r="E11" s="18"/>
    </row>
    <row r="12" spans="1:5" ht="15" customHeight="1" x14ac:dyDescent="0.3">
      <c r="A12" s="3" t="s">
        <v>10</v>
      </c>
      <c r="B12" s="24">
        <v>20</v>
      </c>
      <c r="C12" s="24">
        <v>21</v>
      </c>
      <c r="D12" s="24"/>
      <c r="E12" s="18"/>
    </row>
    <row r="13" spans="1:5" ht="15" customHeight="1" x14ac:dyDescent="0.3">
      <c r="A13" s="3" t="s">
        <v>11</v>
      </c>
      <c r="B13" s="24">
        <v>4000000</v>
      </c>
      <c r="C13" s="24">
        <v>4200000</v>
      </c>
      <c r="D13" s="18"/>
      <c r="E13" s="18"/>
    </row>
    <row r="14" spans="1:5" ht="15" customHeight="1" x14ac:dyDescent="0.3">
      <c r="A14" s="3" t="s">
        <v>12</v>
      </c>
      <c r="B14" s="24">
        <v>2000000</v>
      </c>
      <c r="C14" s="24">
        <v>2100000</v>
      </c>
      <c r="D14" s="18"/>
      <c r="E14" s="18"/>
    </row>
    <row r="15" spans="1:5" ht="16.2" customHeight="1" x14ac:dyDescent="0.3">
      <c r="A15" s="3" t="s">
        <v>13</v>
      </c>
      <c r="B15" s="24">
        <v>8000000</v>
      </c>
      <c r="C15" s="24">
        <v>8000000</v>
      </c>
      <c r="D15" s="18"/>
      <c r="E15" s="18"/>
    </row>
    <row r="16" spans="1:5" x14ac:dyDescent="0.3">
      <c r="A16" s="25" t="s">
        <v>14</v>
      </c>
      <c r="B16" s="26">
        <f>B8*B9</f>
        <v>25000000</v>
      </c>
      <c r="C16" s="26">
        <f>C8*C9</f>
        <v>25725000</v>
      </c>
      <c r="D16" s="18"/>
      <c r="E16" s="18"/>
    </row>
    <row r="17" spans="1:5" x14ac:dyDescent="0.3">
      <c r="A17" s="3"/>
      <c r="B17" s="18"/>
      <c r="C17" s="18"/>
      <c r="D17" s="18"/>
      <c r="E17" s="18"/>
    </row>
    <row r="18" spans="1:5" ht="17.399999999999999" customHeight="1" x14ac:dyDescent="0.3">
      <c r="A18" s="20" t="s">
        <v>15</v>
      </c>
      <c r="B18" s="21"/>
      <c r="C18" s="21"/>
      <c r="D18" s="21"/>
      <c r="E18" s="21"/>
    </row>
    <row r="19" spans="1:5" x14ac:dyDescent="0.3">
      <c r="A19" s="3"/>
      <c r="B19" s="18"/>
      <c r="C19" s="18"/>
      <c r="D19" s="18"/>
      <c r="E19" s="18"/>
    </row>
    <row r="20" spans="1:5" ht="17.399999999999999" customHeight="1" x14ac:dyDescent="0.3">
      <c r="A20" s="22" t="s">
        <v>16</v>
      </c>
      <c r="B20" s="22" t="s">
        <v>17</v>
      </c>
      <c r="C20" s="22" t="s">
        <v>18</v>
      </c>
      <c r="D20" s="22" t="s">
        <v>19</v>
      </c>
      <c r="E20" s="22"/>
    </row>
    <row r="21" spans="1:5" ht="15.6" customHeight="1" x14ac:dyDescent="0.3">
      <c r="A21" s="3" t="s">
        <v>20</v>
      </c>
      <c r="B21" s="23">
        <v>900000</v>
      </c>
      <c r="C21" s="23" t="s">
        <v>21</v>
      </c>
      <c r="D21" s="23">
        <v>600</v>
      </c>
      <c r="E21" s="23"/>
    </row>
    <row r="22" spans="1:5" ht="17.399999999999999" customHeight="1" x14ac:dyDescent="0.3">
      <c r="A22" s="3" t="s">
        <v>22</v>
      </c>
      <c r="B22" s="23">
        <v>600000</v>
      </c>
      <c r="C22" s="23" t="s">
        <v>23</v>
      </c>
      <c r="D22" s="23">
        <v>1200</v>
      </c>
      <c r="E22" s="23"/>
    </row>
    <row r="23" spans="1:5" ht="17.399999999999999" customHeight="1" x14ac:dyDescent="0.3">
      <c r="A23" s="3" t="s">
        <v>24</v>
      </c>
      <c r="B23" s="23">
        <v>500000</v>
      </c>
      <c r="C23" s="23" t="s">
        <v>25</v>
      </c>
      <c r="D23" s="23">
        <v>2500</v>
      </c>
      <c r="E23" s="23"/>
    </row>
    <row r="24" spans="1:5" x14ac:dyDescent="0.3">
      <c r="A24" s="3"/>
      <c r="B24" s="18"/>
      <c r="C24" s="18"/>
      <c r="D24" s="18"/>
      <c r="E24" s="18"/>
    </row>
    <row r="25" spans="1:5" ht="17.399999999999999" customHeight="1" x14ac:dyDescent="0.3">
      <c r="A25" s="20" t="s">
        <v>26</v>
      </c>
      <c r="B25" s="21"/>
      <c r="C25" s="21"/>
      <c r="D25" s="21"/>
      <c r="E25" s="21"/>
    </row>
    <row r="26" spans="1:5" x14ac:dyDescent="0.3">
      <c r="A26" s="3"/>
      <c r="B26" s="18"/>
      <c r="C26" s="18"/>
      <c r="D26" s="18"/>
      <c r="E26" s="18"/>
    </row>
    <row r="27" spans="1:5" ht="17.399999999999999" customHeight="1" x14ac:dyDescent="0.3">
      <c r="A27" s="22" t="s">
        <v>27</v>
      </c>
      <c r="B27" s="22" t="s">
        <v>28</v>
      </c>
      <c r="C27" s="22" t="s">
        <v>29</v>
      </c>
      <c r="D27" s="22" t="s">
        <v>30</v>
      </c>
      <c r="E27" s="22" t="s">
        <v>25</v>
      </c>
    </row>
    <row r="28" spans="1:5" x14ac:dyDescent="0.3">
      <c r="A28" s="3" t="s">
        <v>31</v>
      </c>
      <c r="B28" s="23">
        <v>60000</v>
      </c>
      <c r="C28" s="23">
        <v>240</v>
      </c>
      <c r="D28" s="23">
        <v>480</v>
      </c>
      <c r="E28" s="23">
        <v>900</v>
      </c>
    </row>
    <row r="29" spans="1:5" x14ac:dyDescent="0.3">
      <c r="A29" s="3" t="s">
        <v>32</v>
      </c>
      <c r="B29" s="23">
        <v>40000</v>
      </c>
      <c r="C29" s="23">
        <v>360</v>
      </c>
      <c r="D29" s="23">
        <v>720</v>
      </c>
      <c r="E29" s="23">
        <v>1600</v>
      </c>
    </row>
    <row r="30" spans="1:5" x14ac:dyDescent="0.3">
      <c r="A30" s="3" t="s">
        <v>33</v>
      </c>
      <c r="B30" s="23">
        <v>100000</v>
      </c>
      <c r="C30" s="23">
        <v>600</v>
      </c>
      <c r="D30" s="23">
        <v>1200</v>
      </c>
      <c r="E30" s="23">
        <v>2500</v>
      </c>
    </row>
    <row r="31" spans="1:5" x14ac:dyDescent="0.3">
      <c r="A31" s="3"/>
      <c r="B31" s="18"/>
      <c r="C31" s="18"/>
      <c r="D31" s="18"/>
      <c r="E31" s="18"/>
    </row>
    <row r="32" spans="1:5" ht="18" customHeight="1" x14ac:dyDescent="0.3">
      <c r="A32" s="27" t="s">
        <v>34</v>
      </c>
      <c r="B32" s="18"/>
      <c r="C32" s="18"/>
      <c r="D32" s="18"/>
      <c r="E32" s="18"/>
    </row>
    <row r="33" spans="1:5" ht="17.399999999999999" customHeight="1" x14ac:dyDescent="0.3">
      <c r="A33" s="37" t="s">
        <v>35</v>
      </c>
      <c r="B33" s="36"/>
      <c r="C33" s="36"/>
      <c r="D33" s="36"/>
      <c r="E33" s="36"/>
    </row>
    <row r="34" spans="1:5" x14ac:dyDescent="0.3">
      <c r="A34" s="3"/>
      <c r="B34" s="18"/>
      <c r="C34" s="18"/>
      <c r="D34" s="18"/>
      <c r="E34" s="18"/>
    </row>
    <row r="35" spans="1:5" ht="17.399999999999999" customHeight="1" x14ac:dyDescent="0.3">
      <c r="A35" s="20" t="s">
        <v>36</v>
      </c>
      <c r="B35" s="21"/>
      <c r="C35" s="21"/>
      <c r="D35" s="21"/>
      <c r="E35" s="21"/>
    </row>
    <row r="36" spans="1:5" ht="15.6" customHeight="1" x14ac:dyDescent="0.3">
      <c r="A36" s="22" t="s">
        <v>37</v>
      </c>
      <c r="B36" s="22" t="s">
        <v>4</v>
      </c>
      <c r="C36" s="22" t="s">
        <v>5</v>
      </c>
      <c r="D36" s="22"/>
      <c r="E36" s="22"/>
    </row>
    <row r="37" spans="1:5" ht="17.399999999999999" customHeight="1" x14ac:dyDescent="0.3">
      <c r="A37" s="3" t="s">
        <v>38</v>
      </c>
      <c r="B37" s="24">
        <f>B10*B8</f>
        <v>8500000</v>
      </c>
      <c r="C37" s="24">
        <f>C10*C8</f>
        <v>9450000</v>
      </c>
      <c r="D37" s="18"/>
      <c r="E37" s="18"/>
    </row>
    <row r="38" spans="1:5" ht="17.399999999999999" customHeight="1" x14ac:dyDescent="0.3">
      <c r="A38" s="3" t="s">
        <v>39</v>
      </c>
      <c r="B38" s="24">
        <f>B11*B8</f>
        <v>3500000</v>
      </c>
      <c r="C38" s="24">
        <f>C11*C8</f>
        <v>3885000</v>
      </c>
      <c r="D38" s="18"/>
      <c r="E38" s="18"/>
    </row>
    <row r="39" spans="1:5" ht="17.399999999999999" customHeight="1" x14ac:dyDescent="0.3">
      <c r="A39" s="3" t="s">
        <v>40</v>
      </c>
      <c r="B39" s="24">
        <f>B12*B8</f>
        <v>2000000</v>
      </c>
      <c r="C39" s="24">
        <f>C12*C8</f>
        <v>2205000</v>
      </c>
      <c r="D39" s="18"/>
      <c r="E39" s="18"/>
    </row>
    <row r="40" spans="1:5" ht="18.600000000000001" customHeight="1" x14ac:dyDescent="0.3">
      <c r="A40" s="3" t="s">
        <v>41</v>
      </c>
      <c r="B40" s="24">
        <f>B13</f>
        <v>4000000</v>
      </c>
      <c r="C40" s="24">
        <f>C13</f>
        <v>4200000</v>
      </c>
      <c r="D40" s="18"/>
      <c r="E40" s="18"/>
    </row>
    <row r="41" spans="1:5" ht="17.399999999999999" customHeight="1" x14ac:dyDescent="0.3">
      <c r="A41" s="3" t="s">
        <v>42</v>
      </c>
      <c r="B41" s="24">
        <f>B14</f>
        <v>2000000</v>
      </c>
      <c r="C41" s="24">
        <f>C14</f>
        <v>2100000</v>
      </c>
      <c r="D41" s="18"/>
      <c r="E41" s="18"/>
    </row>
    <row r="42" spans="1:5" ht="18.600000000000001" customHeight="1" x14ac:dyDescent="0.3">
      <c r="A42" s="25" t="s">
        <v>43</v>
      </c>
      <c r="B42" s="26">
        <f>SUM(B37:B39)</f>
        <v>14000000</v>
      </c>
      <c r="C42" s="26">
        <f>SUM(C37:C39)</f>
        <v>15540000</v>
      </c>
      <c r="D42" s="18"/>
      <c r="E42" s="18"/>
    </row>
    <row r="43" spans="1:5" ht="18.600000000000001" customHeight="1" x14ac:dyDescent="0.3">
      <c r="A43" s="25" t="s">
        <v>44</v>
      </c>
      <c r="B43" s="26">
        <f>SUM(B40:B41)</f>
        <v>6000000</v>
      </c>
      <c r="C43" s="26">
        <f>SUM(C40:C41)</f>
        <v>6300000</v>
      </c>
      <c r="D43" s="18"/>
      <c r="E43" s="18"/>
    </row>
    <row r="44" spans="1:5" ht="15.6" customHeight="1" x14ac:dyDescent="0.3">
      <c r="A44" s="3" t="s">
        <v>45</v>
      </c>
      <c r="B44" s="24">
        <f>SUM(B10:B12)</f>
        <v>140</v>
      </c>
      <c r="C44" s="24">
        <f>SUM(C10:C12)</f>
        <v>148</v>
      </c>
      <c r="D44" s="24"/>
      <c r="E44" s="18"/>
    </row>
    <row r="45" spans="1:5" ht="51.6" customHeight="1" x14ac:dyDescent="0.3">
      <c r="A45" s="35" t="s">
        <v>46</v>
      </c>
      <c r="B45" s="36"/>
      <c r="C45" s="36"/>
      <c r="D45" s="36"/>
      <c r="E45" s="36"/>
    </row>
    <row r="46" spans="1:5" x14ac:dyDescent="0.3">
      <c r="A46" s="3"/>
      <c r="B46" s="23"/>
      <c r="C46" s="23"/>
      <c r="D46" s="18"/>
      <c r="E46" s="18"/>
    </row>
    <row r="47" spans="1:5" ht="17.399999999999999" customHeight="1" x14ac:dyDescent="0.3">
      <c r="A47" s="20" t="s">
        <v>47</v>
      </c>
      <c r="B47" s="21"/>
      <c r="C47" s="21"/>
      <c r="D47" s="21"/>
      <c r="E47" s="21"/>
    </row>
    <row r="48" spans="1:5" ht="15.6" customHeight="1" x14ac:dyDescent="0.3">
      <c r="A48" s="22" t="s">
        <v>48</v>
      </c>
      <c r="B48" s="22" t="s">
        <v>4</v>
      </c>
      <c r="C48" s="22" t="s">
        <v>5</v>
      </c>
      <c r="D48" s="22"/>
      <c r="E48" s="22"/>
    </row>
    <row r="49" spans="1:5" ht="19.2" customHeight="1" x14ac:dyDescent="0.3">
      <c r="A49" s="25" t="s">
        <v>49</v>
      </c>
      <c r="B49" s="26">
        <f>B9-B44</f>
        <v>110</v>
      </c>
      <c r="C49" s="26">
        <f>C9-C44</f>
        <v>97</v>
      </c>
      <c r="D49" s="24"/>
      <c r="E49" s="18"/>
    </row>
    <row r="50" spans="1:5" ht="19.2" customHeight="1" x14ac:dyDescent="0.3">
      <c r="A50" s="25" t="s">
        <v>50</v>
      </c>
      <c r="B50" s="28">
        <f>B49/B9</f>
        <v>0.44</v>
      </c>
      <c r="C50" s="28">
        <f>C49/C9</f>
        <v>0.39591836734693875</v>
      </c>
      <c r="D50" s="29"/>
      <c r="E50" s="18"/>
    </row>
    <row r="51" spans="1:5" ht="18" customHeight="1" x14ac:dyDescent="0.3">
      <c r="A51" s="25" t="s">
        <v>51</v>
      </c>
      <c r="B51" s="26">
        <f>B49*B8</f>
        <v>11000000</v>
      </c>
      <c r="C51" s="26">
        <f>C49*C8</f>
        <v>10185000</v>
      </c>
      <c r="D51" s="18"/>
      <c r="E51" s="18"/>
    </row>
    <row r="52" spans="1:5" ht="15.6" customHeight="1" x14ac:dyDescent="0.3">
      <c r="A52" s="25" t="s">
        <v>52</v>
      </c>
      <c r="B52" s="30">
        <f>B43/B49</f>
        <v>54545.454545454544</v>
      </c>
      <c r="C52" s="30">
        <f>C43/C49</f>
        <v>64948.453608247422</v>
      </c>
      <c r="D52" s="18"/>
      <c r="E52" s="18"/>
    </row>
    <row r="53" spans="1:5" ht="16.8" customHeight="1" x14ac:dyDescent="0.3">
      <c r="A53" s="25" t="s">
        <v>53</v>
      </c>
      <c r="B53" s="26">
        <f>B52*B9</f>
        <v>13636363.636363637</v>
      </c>
      <c r="C53" s="26">
        <f>C52*C9</f>
        <v>15912371.134020619</v>
      </c>
      <c r="D53" s="18"/>
      <c r="E53" s="18"/>
    </row>
    <row r="54" spans="1:5" ht="18" customHeight="1" x14ac:dyDescent="0.3">
      <c r="A54" s="25" t="s">
        <v>54</v>
      </c>
      <c r="B54" s="30">
        <f>B8-B52</f>
        <v>45454.545454545456</v>
      </c>
      <c r="C54" s="30">
        <f>C8-C52</f>
        <v>40051.546391752578</v>
      </c>
      <c r="D54" s="18"/>
      <c r="E54" s="18"/>
    </row>
    <row r="55" spans="1:5" ht="18.600000000000001" customHeight="1" x14ac:dyDescent="0.3">
      <c r="A55" s="25" t="s">
        <v>55</v>
      </c>
      <c r="B55" s="28">
        <f>B54/B8</f>
        <v>0.45454545454545459</v>
      </c>
      <c r="C55" s="28">
        <f>C54/C8</f>
        <v>0.38144329896907214</v>
      </c>
      <c r="D55" s="29"/>
      <c r="E55" s="18"/>
    </row>
    <row r="56" spans="1:5" ht="18" customHeight="1" x14ac:dyDescent="0.3">
      <c r="A56" s="25" t="s">
        <v>56</v>
      </c>
      <c r="B56" s="30">
        <f>(B43+B15)/B49</f>
        <v>127272.72727272728</v>
      </c>
      <c r="C56" s="30">
        <f>(C43+C15)/C49</f>
        <v>147422.68041237115</v>
      </c>
      <c r="D56" s="18"/>
      <c r="E56" s="18"/>
    </row>
    <row r="57" spans="1:5" ht="19.2" customHeight="1" x14ac:dyDescent="0.3">
      <c r="A57" s="25" t="s">
        <v>57</v>
      </c>
      <c r="B57" s="26">
        <f>B51-B43</f>
        <v>5000000</v>
      </c>
      <c r="C57" s="26">
        <f>C51-C43</f>
        <v>3885000</v>
      </c>
      <c r="D57" s="18"/>
      <c r="E57" s="18"/>
    </row>
    <row r="58" spans="1:5" ht="18" customHeight="1" x14ac:dyDescent="0.3">
      <c r="A58" s="25" t="s">
        <v>58</v>
      </c>
      <c r="B58" s="31">
        <f>B51/B57</f>
        <v>2.2000000000000002</v>
      </c>
      <c r="C58" s="31">
        <f>C51/C57</f>
        <v>2.6216216216216215</v>
      </c>
      <c r="D58" s="18"/>
      <c r="E58" s="18"/>
    </row>
    <row r="59" spans="1:5" ht="52.2" customHeight="1" x14ac:dyDescent="0.3">
      <c r="A59" s="35" t="s">
        <v>59</v>
      </c>
      <c r="B59" s="36"/>
      <c r="C59" s="36"/>
      <c r="D59" s="36"/>
      <c r="E59" s="36"/>
    </row>
    <row r="60" spans="1:5" x14ac:dyDescent="0.3">
      <c r="A60" s="3"/>
      <c r="B60" s="18"/>
      <c r="C60" s="18"/>
      <c r="D60" s="18"/>
      <c r="E60" s="18"/>
    </row>
    <row r="61" spans="1:5" ht="17.399999999999999" customHeight="1" x14ac:dyDescent="0.3">
      <c r="A61" s="20" t="s">
        <v>60</v>
      </c>
      <c r="B61" s="21"/>
      <c r="C61" s="21"/>
      <c r="D61" s="21"/>
      <c r="E61" s="21"/>
    </row>
    <row r="62" spans="1:5" ht="16.2" customHeight="1" x14ac:dyDescent="0.3">
      <c r="A62" s="4" t="s">
        <v>61</v>
      </c>
      <c r="B62" s="18"/>
      <c r="C62" s="18"/>
      <c r="D62" s="18"/>
      <c r="E62" s="18"/>
    </row>
    <row r="63" spans="1:5" ht="18" customHeight="1" x14ac:dyDescent="0.3">
      <c r="A63" s="3" t="s">
        <v>20</v>
      </c>
      <c r="B63" s="24">
        <f>B21/D21</f>
        <v>1500</v>
      </c>
      <c r="C63" s="24"/>
      <c r="D63" s="18"/>
      <c r="E63" s="18"/>
    </row>
    <row r="64" spans="1:5" ht="15.6" customHeight="1" x14ac:dyDescent="0.3">
      <c r="A64" s="3" t="s">
        <v>22</v>
      </c>
      <c r="B64" s="24">
        <f>B22/D22</f>
        <v>500</v>
      </c>
      <c r="C64" s="24"/>
      <c r="D64" s="18"/>
      <c r="E64" s="18"/>
    </row>
    <row r="65" spans="1:5" ht="18.600000000000001" customHeight="1" x14ac:dyDescent="0.3">
      <c r="A65" s="3" t="s">
        <v>24</v>
      </c>
      <c r="B65" s="24">
        <f>B23/D23</f>
        <v>200</v>
      </c>
      <c r="C65" s="24"/>
      <c r="D65" s="18"/>
      <c r="E65" s="18"/>
    </row>
    <row r="66" spans="1:5" x14ac:dyDescent="0.3">
      <c r="A66" s="3"/>
      <c r="B66" s="32"/>
      <c r="C66" s="18"/>
      <c r="D66" s="18"/>
      <c r="E66" s="18"/>
    </row>
    <row r="67" spans="1:5" ht="19.2" customHeight="1" x14ac:dyDescent="0.3">
      <c r="A67" s="4" t="s">
        <v>62</v>
      </c>
      <c r="B67" s="32"/>
      <c r="C67" s="18"/>
      <c r="D67" s="18"/>
      <c r="E67" s="18"/>
    </row>
    <row r="68" spans="1:5" ht="28.8" customHeight="1" x14ac:dyDescent="0.3">
      <c r="A68" s="4" t="s">
        <v>31</v>
      </c>
      <c r="B68" s="32"/>
      <c r="C68" s="18"/>
      <c r="D68" s="18"/>
      <c r="E68" s="18"/>
    </row>
    <row r="69" spans="1:5" ht="19.2" customHeight="1" x14ac:dyDescent="0.3">
      <c r="A69" s="3" t="s">
        <v>20</v>
      </c>
      <c r="B69" s="24">
        <f>B63*C28</f>
        <v>360000</v>
      </c>
      <c r="C69" s="24"/>
      <c r="D69" s="18"/>
      <c r="E69" s="18"/>
    </row>
    <row r="70" spans="1:5" ht="19.2" customHeight="1" x14ac:dyDescent="0.3">
      <c r="A70" s="3" t="s">
        <v>22</v>
      </c>
      <c r="B70" s="24">
        <f>B64*D28</f>
        <v>240000</v>
      </c>
      <c r="C70" s="24"/>
      <c r="D70" s="18"/>
      <c r="E70" s="18"/>
    </row>
    <row r="71" spans="1:5" ht="17.399999999999999" customHeight="1" x14ac:dyDescent="0.3">
      <c r="A71" s="3" t="s">
        <v>24</v>
      </c>
      <c r="B71" s="24">
        <f>B65*E28</f>
        <v>180000</v>
      </c>
      <c r="C71" s="24"/>
      <c r="D71" s="18"/>
      <c r="E71" s="18"/>
    </row>
    <row r="72" spans="1:5" ht="19.2" customHeight="1" x14ac:dyDescent="0.3">
      <c r="A72" s="25" t="s">
        <v>63</v>
      </c>
      <c r="B72" s="26">
        <f>SUM(B69:B71)</f>
        <v>780000</v>
      </c>
      <c r="C72" s="26"/>
      <c r="D72" s="18"/>
      <c r="E72" s="18"/>
    </row>
    <row r="73" spans="1:5" x14ac:dyDescent="0.3">
      <c r="A73" s="3"/>
      <c r="B73" s="32"/>
      <c r="C73" s="18"/>
      <c r="D73" s="18"/>
      <c r="E73" s="18"/>
    </row>
    <row r="74" spans="1:5" ht="18.600000000000001" customHeight="1" x14ac:dyDescent="0.3">
      <c r="A74" s="4" t="s">
        <v>32</v>
      </c>
      <c r="B74" s="32"/>
      <c r="C74" s="18"/>
      <c r="D74" s="18"/>
      <c r="E74" s="18"/>
    </row>
    <row r="75" spans="1:5" ht="21" customHeight="1" x14ac:dyDescent="0.3">
      <c r="A75" s="3" t="s">
        <v>20</v>
      </c>
      <c r="B75" s="24">
        <f>B63*C29</f>
        <v>540000</v>
      </c>
      <c r="C75" s="24"/>
      <c r="D75" s="18"/>
      <c r="E75" s="18"/>
    </row>
    <row r="76" spans="1:5" ht="19.8" customHeight="1" x14ac:dyDescent="0.3">
      <c r="A76" s="3" t="s">
        <v>22</v>
      </c>
      <c r="B76" s="24">
        <f>B64*D29</f>
        <v>360000</v>
      </c>
      <c r="C76" s="24"/>
      <c r="D76" s="18"/>
      <c r="E76" s="18"/>
    </row>
    <row r="77" spans="1:5" ht="18" customHeight="1" x14ac:dyDescent="0.3">
      <c r="A77" s="3" t="s">
        <v>24</v>
      </c>
      <c r="B77" s="24">
        <f>B65*E29</f>
        <v>320000</v>
      </c>
      <c r="C77" s="24"/>
      <c r="D77" s="18"/>
      <c r="E77" s="18"/>
    </row>
    <row r="78" spans="1:5" ht="18.600000000000001" customHeight="1" x14ac:dyDescent="0.3">
      <c r="A78" s="25" t="s">
        <v>63</v>
      </c>
      <c r="B78" s="26">
        <f>SUM(B75:B77)</f>
        <v>1220000</v>
      </c>
      <c r="C78" s="26"/>
      <c r="D78" s="18"/>
      <c r="E78" s="18"/>
    </row>
    <row r="79" spans="1:5" x14ac:dyDescent="0.3">
      <c r="A79" s="3"/>
      <c r="B79" s="32"/>
      <c r="C79" s="18"/>
      <c r="D79" s="18"/>
      <c r="E79" s="18"/>
    </row>
    <row r="80" spans="1:5" ht="16.8" customHeight="1" x14ac:dyDescent="0.3">
      <c r="A80" s="4" t="s">
        <v>63</v>
      </c>
      <c r="B80" s="32"/>
      <c r="C80" s="18"/>
      <c r="D80" s="18"/>
      <c r="E80" s="18"/>
    </row>
    <row r="81" spans="1:5" ht="17.399999999999999" customHeight="1" x14ac:dyDescent="0.3">
      <c r="A81" s="25" t="s">
        <v>64</v>
      </c>
      <c r="B81" s="26">
        <f>SUM(B72,B78)</f>
        <v>2000000</v>
      </c>
      <c r="C81" s="26"/>
      <c r="D81" s="18"/>
      <c r="E81" s="18"/>
    </row>
    <row r="82" spans="1:5" x14ac:dyDescent="0.3">
      <c r="A82" s="3"/>
      <c r="B82" s="32"/>
      <c r="C82" s="18"/>
      <c r="D82" s="18"/>
      <c r="E82" s="18"/>
    </row>
    <row r="83" spans="1:5" ht="18.600000000000001" customHeight="1" x14ac:dyDescent="0.3">
      <c r="A83" s="4" t="s">
        <v>65</v>
      </c>
      <c r="B83" s="32"/>
      <c r="C83" s="18"/>
      <c r="D83" s="18"/>
      <c r="E83" s="18"/>
    </row>
    <row r="84" spans="1:5" x14ac:dyDescent="0.3">
      <c r="A84" s="25" t="s">
        <v>31</v>
      </c>
      <c r="B84" s="26">
        <f>B72/B28</f>
        <v>13</v>
      </c>
      <c r="C84" s="26"/>
      <c r="D84" s="24"/>
      <c r="E84" s="18"/>
    </row>
    <row r="85" spans="1:5" x14ac:dyDescent="0.3">
      <c r="A85" s="25" t="s">
        <v>32</v>
      </c>
      <c r="B85" s="26">
        <f>B78/B29</f>
        <v>30.5</v>
      </c>
      <c r="C85" s="26"/>
      <c r="D85" s="24"/>
      <c r="E85" s="18"/>
    </row>
    <row r="86" spans="1:5" x14ac:dyDescent="0.3">
      <c r="A86" s="3"/>
      <c r="B86" s="32"/>
      <c r="C86" s="18"/>
      <c r="D86" s="18"/>
      <c r="E86" s="18"/>
    </row>
    <row r="87" spans="1:5" ht="16.2" customHeight="1" x14ac:dyDescent="0.3">
      <c r="A87" s="4" t="s">
        <v>66</v>
      </c>
      <c r="B87" s="32"/>
      <c r="C87" s="18"/>
      <c r="D87" s="18"/>
      <c r="E87" s="18"/>
    </row>
    <row r="88" spans="1:5" x14ac:dyDescent="0.3">
      <c r="A88" s="25" t="s">
        <v>67</v>
      </c>
      <c r="B88" s="28">
        <f>B72/B81</f>
        <v>0.39</v>
      </c>
      <c r="C88" s="28"/>
      <c r="D88" s="29"/>
      <c r="E88" s="18"/>
    </row>
    <row r="89" spans="1:5" x14ac:dyDescent="0.3">
      <c r="A89" s="25" t="s">
        <v>32</v>
      </c>
      <c r="B89" s="28">
        <f>B78/B81</f>
        <v>0.61</v>
      </c>
      <c r="C89" s="28"/>
      <c r="D89" s="29"/>
      <c r="E89" s="18"/>
    </row>
    <row r="90" spans="1:5" x14ac:dyDescent="0.3">
      <c r="A90" s="3"/>
      <c r="B90" s="32"/>
      <c r="C90" s="18"/>
      <c r="D90" s="18"/>
      <c r="E90" s="18"/>
    </row>
    <row r="91" spans="1:5" x14ac:dyDescent="0.3">
      <c r="A91" s="4" t="s">
        <v>68</v>
      </c>
      <c r="B91" s="18"/>
      <c r="C91" s="18"/>
      <c r="D91" s="18"/>
      <c r="E91" s="18"/>
    </row>
    <row r="92" spans="1:5" x14ac:dyDescent="0.3">
      <c r="A92" s="33">
        <f>B85-B84</f>
        <v>17.5</v>
      </c>
      <c r="B92" s="26">
        <f>B85-B84</f>
        <v>17.5</v>
      </c>
      <c r="C92" s="26"/>
      <c r="D92" s="24"/>
      <c r="E92" s="18"/>
    </row>
    <row r="93" spans="1:5" x14ac:dyDescent="0.3">
      <c r="A93" s="3"/>
      <c r="B93" s="18"/>
      <c r="C93" s="18"/>
      <c r="D93" s="18"/>
      <c r="E93" s="18"/>
    </row>
    <row r="94" spans="1:5" x14ac:dyDescent="0.3">
      <c r="A94" s="4" t="s">
        <v>69</v>
      </c>
      <c r="B94" s="18"/>
      <c r="C94" s="18"/>
      <c r="D94" s="18"/>
      <c r="E94" s="18"/>
    </row>
    <row r="95" spans="1:5" ht="28.8" customHeight="1" x14ac:dyDescent="0.3">
      <c r="A95" s="22" t="s">
        <v>70</v>
      </c>
      <c r="B95" s="22" t="s">
        <v>31</v>
      </c>
      <c r="C95" s="22" t="s">
        <v>32</v>
      </c>
      <c r="D95" s="22" t="s">
        <v>33</v>
      </c>
      <c r="E95" s="22"/>
    </row>
    <row r="96" spans="1:5" x14ac:dyDescent="0.3">
      <c r="A96" s="3" t="s">
        <v>28</v>
      </c>
      <c r="B96" s="23">
        <f>B28</f>
        <v>60000</v>
      </c>
      <c r="C96" s="23">
        <f>B29</f>
        <v>40000</v>
      </c>
      <c r="D96" s="23">
        <v>100000</v>
      </c>
      <c r="E96" s="18"/>
    </row>
    <row r="97" spans="1:5" ht="17.399999999999999" customHeight="1" x14ac:dyDescent="0.3">
      <c r="A97" s="3" t="s">
        <v>71</v>
      </c>
      <c r="B97" s="24">
        <f>B69</f>
        <v>360000</v>
      </c>
      <c r="C97" s="24">
        <f>B75</f>
        <v>540000</v>
      </c>
      <c r="D97" s="34">
        <v>900000</v>
      </c>
      <c r="E97" s="18"/>
    </row>
    <row r="98" spans="1:5" ht="19.2" customHeight="1" x14ac:dyDescent="0.3">
      <c r="A98" s="3" t="s">
        <v>72</v>
      </c>
      <c r="B98" s="24">
        <f>B70</f>
        <v>240000</v>
      </c>
      <c r="C98" s="24">
        <f>B76</f>
        <v>360000</v>
      </c>
      <c r="D98" s="34">
        <v>600000</v>
      </c>
      <c r="E98" s="18"/>
    </row>
    <row r="99" spans="1:5" ht="16.2" customHeight="1" x14ac:dyDescent="0.3">
      <c r="A99" s="3" t="s">
        <v>73</v>
      </c>
      <c r="B99" s="24">
        <f>B71</f>
        <v>180000</v>
      </c>
      <c r="C99" s="24">
        <f>B77</f>
        <v>320000</v>
      </c>
      <c r="D99" s="34">
        <v>500000</v>
      </c>
      <c r="E99" s="18"/>
    </row>
    <row r="100" spans="1:5" ht="16.2" customHeight="1" x14ac:dyDescent="0.3">
      <c r="A100" s="3" t="s">
        <v>63</v>
      </c>
      <c r="B100" s="24">
        <f>B72</f>
        <v>780000</v>
      </c>
      <c r="C100" s="24">
        <f>B78</f>
        <v>1220000</v>
      </c>
      <c r="D100" s="34">
        <v>2000000</v>
      </c>
      <c r="E100" s="18"/>
    </row>
    <row r="101" spans="1:5" ht="17.399999999999999" customHeight="1" x14ac:dyDescent="0.3">
      <c r="A101" s="3" t="s">
        <v>74</v>
      </c>
      <c r="B101" s="24">
        <f>B84</f>
        <v>13</v>
      </c>
      <c r="C101" s="24">
        <f>B85</f>
        <v>30.5</v>
      </c>
      <c r="D101" s="24" t="s">
        <v>75</v>
      </c>
      <c r="E101" s="18"/>
    </row>
    <row r="102" spans="1:5" ht="19.2" customHeight="1" x14ac:dyDescent="0.3">
      <c r="A102" s="3" t="s">
        <v>76</v>
      </c>
      <c r="B102" s="29">
        <f>B88</f>
        <v>0.39</v>
      </c>
      <c r="C102" s="29">
        <f>B89</f>
        <v>0.61</v>
      </c>
      <c r="D102" s="29">
        <v>1</v>
      </c>
      <c r="E102" s="18"/>
    </row>
    <row r="103" spans="1:5" ht="51" customHeight="1" x14ac:dyDescent="0.3">
      <c r="A103" s="35" t="s">
        <v>77</v>
      </c>
      <c r="B103" s="36"/>
      <c r="C103" s="36"/>
      <c r="D103" s="36"/>
      <c r="E103" s="36"/>
    </row>
    <row r="104" spans="1:5" x14ac:dyDescent="0.3">
      <c r="A104" s="3"/>
      <c r="B104" s="18"/>
      <c r="C104" s="18"/>
      <c r="D104" s="18"/>
      <c r="E104" s="18"/>
    </row>
    <row r="105" spans="1:5" ht="17.399999999999999" customHeight="1" x14ac:dyDescent="0.3">
      <c r="A105" s="20" t="s">
        <v>78</v>
      </c>
      <c r="B105" s="21"/>
      <c r="C105" s="21"/>
      <c r="D105" s="21"/>
      <c r="E105" s="21"/>
    </row>
    <row r="106" spans="1:5" ht="15.6" x14ac:dyDescent="0.3">
      <c r="A106" s="20" t="s">
        <v>79</v>
      </c>
      <c r="B106" s="21"/>
      <c r="C106" s="21"/>
      <c r="D106" s="21"/>
      <c r="E106" s="21"/>
    </row>
    <row r="107" spans="1:5" x14ac:dyDescent="0.3">
      <c r="A107" s="3" t="s">
        <v>80</v>
      </c>
      <c r="B107" s="24">
        <f>B8*B9</f>
        <v>25000000</v>
      </c>
      <c r="C107" s="24"/>
      <c r="D107" s="18"/>
      <c r="E107" s="18"/>
    </row>
    <row r="108" spans="1:5" x14ac:dyDescent="0.3">
      <c r="A108" s="3" t="s">
        <v>81</v>
      </c>
      <c r="B108" s="24">
        <f>B8*B44</f>
        <v>14000000</v>
      </c>
      <c r="C108" s="24"/>
      <c r="D108" s="18"/>
      <c r="E108" s="18"/>
    </row>
    <row r="109" spans="1:5" x14ac:dyDescent="0.3">
      <c r="A109" s="3" t="s">
        <v>82</v>
      </c>
      <c r="B109" s="24">
        <f>B43</f>
        <v>6000000</v>
      </c>
      <c r="C109" s="24"/>
      <c r="D109" s="18"/>
      <c r="E109" s="18"/>
    </row>
    <row r="110" spans="1:5" x14ac:dyDescent="0.3">
      <c r="A110" s="25" t="s">
        <v>83</v>
      </c>
      <c r="B110" s="26">
        <f>B107-B108</f>
        <v>11000000</v>
      </c>
      <c r="C110" s="26"/>
      <c r="D110" s="18"/>
      <c r="E110" s="18"/>
    </row>
    <row r="111" spans="1:5" x14ac:dyDescent="0.3">
      <c r="A111" s="25" t="s">
        <v>84</v>
      </c>
      <c r="B111" s="26">
        <f>B110-B109</f>
        <v>5000000</v>
      </c>
      <c r="C111" s="26"/>
      <c r="D111" s="18"/>
      <c r="E111" s="18"/>
    </row>
    <row r="112" spans="1:5" ht="37.200000000000003" customHeight="1" x14ac:dyDescent="0.3">
      <c r="A112" s="35" t="s">
        <v>85</v>
      </c>
      <c r="B112" s="36"/>
      <c r="C112" s="36"/>
      <c r="D112" s="36"/>
      <c r="E112" s="36"/>
    </row>
    <row r="113" spans="1:5" x14ac:dyDescent="0.3">
      <c r="A113" s="3"/>
      <c r="B113" s="32"/>
      <c r="C113" s="18"/>
      <c r="D113" s="18"/>
      <c r="E113" s="18"/>
    </row>
    <row r="114" spans="1:5" ht="15.6" x14ac:dyDescent="0.3">
      <c r="A114" s="20" t="s">
        <v>86</v>
      </c>
      <c r="B114" s="21"/>
      <c r="C114" s="21"/>
      <c r="D114" s="21"/>
      <c r="E114" s="21"/>
    </row>
    <row r="115" spans="1:5" x14ac:dyDescent="0.3">
      <c r="A115" s="3" t="s">
        <v>87</v>
      </c>
      <c r="B115" s="24">
        <f>C8*B9</f>
        <v>26250000</v>
      </c>
      <c r="C115" s="24"/>
      <c r="D115" s="18"/>
      <c r="E115" s="18"/>
    </row>
    <row r="116" spans="1:5" x14ac:dyDescent="0.3">
      <c r="A116" s="3" t="s">
        <v>88</v>
      </c>
      <c r="B116" s="24">
        <f>C8*B44</f>
        <v>14700000</v>
      </c>
      <c r="C116" s="24"/>
      <c r="D116" s="18"/>
      <c r="E116" s="18"/>
    </row>
    <row r="117" spans="1:5" x14ac:dyDescent="0.3">
      <c r="A117" s="3" t="s">
        <v>89</v>
      </c>
      <c r="B117" s="24">
        <f>B43</f>
        <v>6000000</v>
      </c>
      <c r="C117" s="24"/>
      <c r="D117" s="18"/>
      <c r="E117" s="18"/>
    </row>
    <row r="118" spans="1:5" x14ac:dyDescent="0.3">
      <c r="A118" s="25" t="s">
        <v>90</v>
      </c>
      <c r="B118" s="26">
        <f>B115-B116</f>
        <v>11550000</v>
      </c>
      <c r="C118" s="26"/>
      <c r="D118" s="18"/>
      <c r="E118" s="18"/>
    </row>
    <row r="119" spans="1:5" x14ac:dyDescent="0.3">
      <c r="A119" s="25" t="s">
        <v>91</v>
      </c>
      <c r="B119" s="26">
        <f>B118-B117</f>
        <v>5550000</v>
      </c>
      <c r="C119" s="26"/>
      <c r="D119" s="18"/>
      <c r="E119" s="18"/>
    </row>
    <row r="120" spans="1:5" ht="48.6" customHeight="1" x14ac:dyDescent="0.3">
      <c r="A120" s="35" t="s">
        <v>92</v>
      </c>
      <c r="B120" s="36"/>
      <c r="C120" s="36"/>
      <c r="D120" s="36"/>
      <c r="E120" s="36"/>
    </row>
    <row r="121" spans="1:5" x14ac:dyDescent="0.3">
      <c r="A121" s="3"/>
      <c r="B121" s="18"/>
      <c r="C121" s="18"/>
      <c r="D121" s="18"/>
      <c r="E121" s="18"/>
    </row>
    <row r="122" spans="1:5" ht="15.6" x14ac:dyDescent="0.3">
      <c r="A122" s="20" t="s">
        <v>93</v>
      </c>
      <c r="B122" s="21"/>
      <c r="C122" s="21"/>
      <c r="D122" s="21"/>
      <c r="E122" s="21"/>
    </row>
    <row r="123" spans="1:5" x14ac:dyDescent="0.3">
      <c r="A123" s="25" t="s">
        <v>94</v>
      </c>
      <c r="B123" s="26">
        <f>B115-B107</f>
        <v>1250000</v>
      </c>
      <c r="C123" s="26"/>
      <c r="D123" s="18"/>
      <c r="E123" s="18"/>
    </row>
    <row r="124" spans="1:5" x14ac:dyDescent="0.3">
      <c r="A124" s="25" t="s">
        <v>95</v>
      </c>
      <c r="B124" s="26">
        <f>B116-B108</f>
        <v>700000</v>
      </c>
      <c r="C124" s="26"/>
      <c r="D124" s="18"/>
      <c r="E124" s="18"/>
    </row>
    <row r="125" spans="1:5" x14ac:dyDescent="0.3">
      <c r="A125" s="3" t="s">
        <v>96</v>
      </c>
      <c r="B125" s="24">
        <f>B117-B109</f>
        <v>0</v>
      </c>
      <c r="C125" s="24"/>
      <c r="D125" s="18"/>
      <c r="E125" s="18"/>
    </row>
    <row r="126" spans="1:5" x14ac:dyDescent="0.3">
      <c r="A126" s="25" t="s">
        <v>97</v>
      </c>
      <c r="B126" s="26">
        <f>B119-B111</f>
        <v>550000</v>
      </c>
      <c r="C126" s="26"/>
      <c r="D126" s="18"/>
      <c r="E126" s="18"/>
    </row>
    <row r="127" spans="1:5" x14ac:dyDescent="0.3">
      <c r="A127" s="25" t="s">
        <v>98</v>
      </c>
      <c r="B127" s="26">
        <f>C16-B115</f>
        <v>-525000</v>
      </c>
      <c r="C127" s="26"/>
      <c r="D127" s="18"/>
      <c r="E127" s="18"/>
    </row>
    <row r="128" spans="1:5" ht="47.4" customHeight="1" x14ac:dyDescent="0.3">
      <c r="A128" s="35" t="s">
        <v>99</v>
      </c>
      <c r="B128" s="36"/>
      <c r="C128" s="36"/>
      <c r="D128" s="36"/>
      <c r="E128" s="36"/>
    </row>
    <row r="129" spans="1:5" x14ac:dyDescent="0.3">
      <c r="A129" s="3"/>
      <c r="B129" s="18"/>
      <c r="C129" s="18"/>
      <c r="D129" s="18"/>
      <c r="E129" s="18"/>
    </row>
    <row r="130" spans="1:5" ht="15.6" x14ac:dyDescent="0.3">
      <c r="A130" s="20" t="s">
        <v>100</v>
      </c>
      <c r="B130" s="21"/>
      <c r="C130" s="21"/>
      <c r="D130" s="21"/>
      <c r="E130" s="21"/>
    </row>
    <row r="131" spans="1:5" x14ac:dyDescent="0.3">
      <c r="A131" s="25" t="s">
        <v>101</v>
      </c>
      <c r="B131" s="26">
        <f>C43-B117</f>
        <v>300000</v>
      </c>
      <c r="C131" s="26"/>
      <c r="D131" s="18"/>
      <c r="E131" s="18"/>
    </row>
    <row r="132" spans="1:5" x14ac:dyDescent="0.3">
      <c r="A132" s="25" t="s">
        <v>102</v>
      </c>
      <c r="B132" s="26">
        <f>C57-B119</f>
        <v>-1665000</v>
      </c>
      <c r="C132" s="26"/>
      <c r="D132" s="18"/>
      <c r="E132" s="18"/>
    </row>
    <row r="133" spans="1:5" ht="31.2" customHeight="1" x14ac:dyDescent="0.3">
      <c r="A133" s="35" t="s">
        <v>103</v>
      </c>
      <c r="B133" s="36"/>
      <c r="C133" s="36"/>
      <c r="D133" s="36"/>
      <c r="E133" s="36"/>
    </row>
    <row r="134" spans="1:5" x14ac:dyDescent="0.3">
      <c r="A134" s="3"/>
      <c r="B134" s="18"/>
      <c r="C134" s="18"/>
      <c r="D134" s="18"/>
      <c r="E134" s="18"/>
    </row>
    <row r="135" spans="1:5" ht="15.6" x14ac:dyDescent="0.3">
      <c r="A135" s="20" t="s">
        <v>104</v>
      </c>
      <c r="B135" s="21"/>
      <c r="C135" s="21"/>
      <c r="D135" s="21"/>
      <c r="E135" s="21"/>
    </row>
    <row r="136" spans="1:5" x14ac:dyDescent="0.3">
      <c r="A136" s="3" t="s">
        <v>105</v>
      </c>
      <c r="B136" s="24">
        <f>C8*B10</f>
        <v>8925000</v>
      </c>
      <c r="C136" s="24"/>
      <c r="D136" s="18"/>
      <c r="E136" s="18"/>
    </row>
    <row r="137" spans="1:5" x14ac:dyDescent="0.3">
      <c r="A137" s="3" t="s">
        <v>106</v>
      </c>
      <c r="B137" s="24">
        <f>C8*C10</f>
        <v>9450000</v>
      </c>
      <c r="C137" s="24"/>
      <c r="D137" s="18"/>
      <c r="E137" s="18"/>
    </row>
    <row r="138" spans="1:5" x14ac:dyDescent="0.3">
      <c r="A138" s="25" t="s">
        <v>107</v>
      </c>
      <c r="B138" s="26">
        <f>B137-B136</f>
        <v>525000</v>
      </c>
      <c r="C138" s="26"/>
      <c r="D138" s="18"/>
      <c r="E138" s="18"/>
    </row>
    <row r="139" spans="1:5" x14ac:dyDescent="0.3">
      <c r="A139" s="3"/>
      <c r="B139" s="18"/>
      <c r="C139" s="18"/>
      <c r="D139" s="18"/>
      <c r="E139" s="18"/>
    </row>
    <row r="140" spans="1:5" x14ac:dyDescent="0.3">
      <c r="A140" s="3" t="s">
        <v>108</v>
      </c>
      <c r="B140" s="24">
        <f>C8*B11</f>
        <v>3675000</v>
      </c>
      <c r="C140" s="24"/>
      <c r="D140" s="18"/>
      <c r="E140" s="18"/>
    </row>
    <row r="141" spans="1:5" x14ac:dyDescent="0.3">
      <c r="A141" s="3" t="s">
        <v>109</v>
      </c>
      <c r="B141" s="24">
        <f>C8*C11</f>
        <v>3885000</v>
      </c>
      <c r="C141" s="24"/>
      <c r="D141" s="18"/>
      <c r="E141" s="18"/>
    </row>
    <row r="142" spans="1:5" x14ac:dyDescent="0.3">
      <c r="A142" s="25" t="s">
        <v>110</v>
      </c>
      <c r="B142" s="26">
        <f>B141-B140</f>
        <v>210000</v>
      </c>
      <c r="C142" s="26"/>
      <c r="D142" s="18"/>
      <c r="E142" s="18"/>
    </row>
    <row r="143" spans="1:5" x14ac:dyDescent="0.3">
      <c r="A143" s="3"/>
      <c r="B143" s="18"/>
      <c r="C143" s="18"/>
      <c r="D143" s="18"/>
      <c r="E143" s="18"/>
    </row>
    <row r="144" spans="1:5" x14ac:dyDescent="0.3">
      <c r="A144" s="3" t="s">
        <v>111</v>
      </c>
      <c r="B144" s="24">
        <f>C8*B12</f>
        <v>2100000</v>
      </c>
      <c r="C144" s="24"/>
      <c r="D144" s="18"/>
      <c r="E144" s="18"/>
    </row>
    <row r="145" spans="1:5" x14ac:dyDescent="0.3">
      <c r="A145" s="3" t="s">
        <v>112</v>
      </c>
      <c r="B145" s="24">
        <f>C8*C12</f>
        <v>2205000</v>
      </c>
      <c r="C145" s="24"/>
      <c r="D145" s="18"/>
      <c r="E145" s="18"/>
    </row>
    <row r="146" spans="1:5" x14ac:dyDescent="0.3">
      <c r="A146" s="25" t="s">
        <v>113</v>
      </c>
      <c r="B146" s="26">
        <f>B145-B144</f>
        <v>105000</v>
      </c>
      <c r="C146" s="26"/>
      <c r="D146" s="18"/>
      <c r="E146" s="18"/>
    </row>
    <row r="147" spans="1:5" x14ac:dyDescent="0.3">
      <c r="A147" s="3"/>
      <c r="B147" s="18"/>
      <c r="C147" s="18"/>
      <c r="D147" s="18"/>
      <c r="E147" s="18"/>
    </row>
    <row r="148" spans="1:5" x14ac:dyDescent="0.3">
      <c r="A148" s="3" t="s">
        <v>114</v>
      </c>
      <c r="B148" s="24">
        <f>B13</f>
        <v>4000000</v>
      </c>
      <c r="C148" s="24"/>
      <c r="D148" s="18"/>
      <c r="E148" s="18"/>
    </row>
    <row r="149" spans="1:5" x14ac:dyDescent="0.3">
      <c r="A149" s="3" t="s">
        <v>115</v>
      </c>
      <c r="B149" s="24">
        <f>C13</f>
        <v>4200000</v>
      </c>
      <c r="C149" s="24"/>
      <c r="D149" s="18"/>
      <c r="E149" s="18"/>
    </row>
    <row r="150" spans="1:5" x14ac:dyDescent="0.3">
      <c r="A150" s="25" t="s">
        <v>116</v>
      </c>
      <c r="B150" s="26">
        <f>B149-B148</f>
        <v>200000</v>
      </c>
      <c r="C150" s="26"/>
      <c r="D150" s="18"/>
      <c r="E150" s="18"/>
    </row>
    <row r="151" spans="1:5" x14ac:dyDescent="0.3">
      <c r="A151" s="3"/>
      <c r="B151" s="18"/>
      <c r="C151" s="18"/>
      <c r="D151" s="18"/>
      <c r="E151" s="18"/>
    </row>
    <row r="152" spans="1:5" x14ac:dyDescent="0.3">
      <c r="A152" s="3" t="s">
        <v>117</v>
      </c>
      <c r="B152" s="24">
        <f>B14</f>
        <v>2000000</v>
      </c>
      <c r="C152" s="24"/>
      <c r="D152" s="18"/>
      <c r="E152" s="18"/>
    </row>
    <row r="153" spans="1:5" x14ac:dyDescent="0.3">
      <c r="A153" s="3" t="s">
        <v>118</v>
      </c>
      <c r="B153" s="24">
        <f>C14</f>
        <v>2100000</v>
      </c>
      <c r="C153" s="24"/>
      <c r="D153" s="18"/>
      <c r="E153" s="18"/>
    </row>
    <row r="154" spans="1:5" x14ac:dyDescent="0.3">
      <c r="A154" s="25" t="s">
        <v>119</v>
      </c>
      <c r="B154" s="26">
        <f>B153-B152</f>
        <v>100000</v>
      </c>
      <c r="C154" s="26"/>
      <c r="D154" s="18"/>
      <c r="E154" s="18"/>
    </row>
    <row r="155" spans="1:5" x14ac:dyDescent="0.3">
      <c r="A155" s="3"/>
      <c r="B155" s="18"/>
      <c r="C155" s="18"/>
      <c r="D155" s="18"/>
      <c r="E155" s="18"/>
    </row>
    <row r="156" spans="1:5" x14ac:dyDescent="0.3">
      <c r="A156" s="25" t="s">
        <v>120</v>
      </c>
      <c r="B156" s="26">
        <f>SUM(B138,B142,B146,B150,B154)</f>
        <v>1140000</v>
      </c>
      <c r="C156" s="26"/>
      <c r="D156" s="18"/>
      <c r="E156" s="18"/>
    </row>
    <row r="157" spans="1:5" ht="70.05" customHeight="1" x14ac:dyDescent="0.3">
      <c r="A157" s="35" t="s">
        <v>121</v>
      </c>
      <c r="B157" s="36"/>
      <c r="C157" s="36"/>
      <c r="D157" s="36"/>
      <c r="E157" s="36"/>
    </row>
    <row r="158" spans="1:5" x14ac:dyDescent="0.3">
      <c r="A158" s="3"/>
      <c r="B158" s="18"/>
      <c r="C158" s="18"/>
      <c r="D158" s="18"/>
      <c r="E158" s="18"/>
    </row>
    <row r="159" spans="1:5" ht="15.6" x14ac:dyDescent="0.3">
      <c r="A159" s="20" t="s">
        <v>122</v>
      </c>
      <c r="B159" s="21"/>
      <c r="C159" s="21"/>
      <c r="D159" s="21"/>
      <c r="E159" s="21"/>
    </row>
    <row r="160" spans="1:5" x14ac:dyDescent="0.3">
      <c r="A160" s="25" t="s">
        <v>123</v>
      </c>
      <c r="B160" s="26">
        <f>SUM(B138,B142,B146)</f>
        <v>840000</v>
      </c>
      <c r="C160" s="26"/>
      <c r="D160" s="18"/>
      <c r="E160" s="18"/>
    </row>
    <row r="161" spans="1:5" x14ac:dyDescent="0.3">
      <c r="A161" s="25" t="s">
        <v>101</v>
      </c>
      <c r="B161" s="26">
        <f>SUM(B150,B154)</f>
        <v>300000</v>
      </c>
      <c r="C161" s="26"/>
      <c r="D161" s="18"/>
      <c r="E161" s="18"/>
    </row>
    <row r="162" spans="1:5" x14ac:dyDescent="0.3">
      <c r="A162" s="25" t="s">
        <v>120</v>
      </c>
      <c r="B162" s="26">
        <f>SUM(B160:B161)</f>
        <v>1140000</v>
      </c>
      <c r="C162" s="26"/>
      <c r="D162" s="18"/>
      <c r="E162" s="18"/>
    </row>
    <row r="163" spans="1:5" ht="34.200000000000003" customHeight="1" x14ac:dyDescent="0.3">
      <c r="A163" s="35" t="s">
        <v>124</v>
      </c>
      <c r="B163" s="36"/>
      <c r="C163" s="36"/>
      <c r="D163" s="36"/>
      <c r="E163" s="36"/>
    </row>
    <row r="164" spans="1:5" x14ac:dyDescent="0.3">
      <c r="A164" s="3"/>
      <c r="B164" s="18"/>
      <c r="C164" s="18"/>
      <c r="D164" s="18"/>
      <c r="E164" s="18"/>
    </row>
    <row r="165" spans="1:5" ht="15.6" x14ac:dyDescent="0.3">
      <c r="A165" s="20" t="s">
        <v>125</v>
      </c>
      <c r="B165" s="21"/>
      <c r="C165" s="21"/>
      <c r="D165" s="21"/>
      <c r="E165" s="21"/>
    </row>
    <row r="166" spans="1:5" x14ac:dyDescent="0.3">
      <c r="A166" s="25" t="s">
        <v>102</v>
      </c>
      <c r="B166" s="26">
        <f>C57-B111</f>
        <v>-1115000</v>
      </c>
      <c r="C166" s="26"/>
      <c r="D166" s="18"/>
      <c r="E166" s="18"/>
    </row>
    <row r="167" spans="1:5" ht="34.200000000000003" customHeight="1" x14ac:dyDescent="0.3">
      <c r="A167" s="35" t="s">
        <v>126</v>
      </c>
      <c r="B167" s="36"/>
      <c r="C167" s="36"/>
      <c r="D167" s="36"/>
      <c r="E167" s="36"/>
    </row>
    <row r="168" spans="1:5" x14ac:dyDescent="0.3">
      <c r="A168" s="3"/>
      <c r="B168" s="18"/>
      <c r="C168" s="18"/>
      <c r="D168" s="18"/>
      <c r="E168" s="18"/>
    </row>
    <row r="169" spans="1:5" ht="15.6" x14ac:dyDescent="0.3">
      <c r="A169" s="20" t="s">
        <v>127</v>
      </c>
      <c r="B169" s="21"/>
      <c r="C169" s="21"/>
      <c r="D169" s="21"/>
      <c r="E169" s="21"/>
    </row>
    <row r="170" spans="1:5" x14ac:dyDescent="0.3">
      <c r="A170" s="25" t="s">
        <v>120</v>
      </c>
      <c r="B170" s="26">
        <f>B162</f>
        <v>1140000</v>
      </c>
      <c r="C170" s="26"/>
      <c r="D170" s="18"/>
      <c r="E170" s="18"/>
    </row>
    <row r="171" spans="1:5" x14ac:dyDescent="0.3">
      <c r="A171" s="25" t="s">
        <v>102</v>
      </c>
      <c r="B171" s="26">
        <f>B166</f>
        <v>-1115000</v>
      </c>
      <c r="C171" s="26"/>
      <c r="D171" s="18"/>
      <c r="E171" s="18"/>
    </row>
    <row r="172" spans="1:5" x14ac:dyDescent="0.3">
      <c r="A172" s="25" t="s">
        <v>98</v>
      </c>
      <c r="B172" s="26">
        <f>B127</f>
        <v>-525000</v>
      </c>
      <c r="C172" s="26"/>
      <c r="D172" s="18"/>
      <c r="E172" s="18"/>
    </row>
    <row r="173" spans="1:5" x14ac:dyDescent="0.3">
      <c r="A173" s="25" t="s">
        <v>123</v>
      </c>
      <c r="B173" s="26">
        <f>B160</f>
        <v>840000</v>
      </c>
      <c r="C173" s="26"/>
      <c r="D173" s="18"/>
      <c r="E173" s="18"/>
    </row>
    <row r="174" spans="1:5" x14ac:dyDescent="0.3">
      <c r="A174" s="25" t="s">
        <v>101</v>
      </c>
      <c r="B174" s="26">
        <f>B161</f>
        <v>300000</v>
      </c>
      <c r="C174" s="26"/>
      <c r="D174" s="18"/>
      <c r="E174" s="18"/>
    </row>
    <row r="175" spans="1:5" ht="46.8" customHeight="1" x14ac:dyDescent="0.3">
      <c r="A175" s="35" t="s">
        <v>128</v>
      </c>
      <c r="B175" s="36"/>
      <c r="C175" s="36"/>
      <c r="D175" s="36"/>
      <c r="E175" s="36"/>
    </row>
    <row r="176" spans="1:5" x14ac:dyDescent="0.3">
      <c r="A176" s="3"/>
      <c r="B176" s="18"/>
      <c r="C176" s="18"/>
      <c r="D176" s="18"/>
      <c r="E176" s="18"/>
    </row>
    <row r="177" spans="1:5" ht="15.6" x14ac:dyDescent="0.3">
      <c r="A177" s="20" t="s">
        <v>129</v>
      </c>
      <c r="B177" s="21"/>
      <c r="C177" s="21"/>
      <c r="D177" s="21"/>
      <c r="E177" s="21"/>
    </row>
    <row r="178" spans="1:5" ht="52.8" customHeight="1" x14ac:dyDescent="0.3">
      <c r="A178" s="35" t="s">
        <v>130</v>
      </c>
      <c r="B178" s="36"/>
      <c r="C178" s="36"/>
      <c r="D178" s="36"/>
      <c r="E178" s="36"/>
    </row>
  </sheetData>
  <mergeCells count="14">
    <mergeCell ref="A178:E178"/>
    <mergeCell ref="A167:E167"/>
    <mergeCell ref="A120:E120"/>
    <mergeCell ref="A33:E33"/>
    <mergeCell ref="A45:E45"/>
    <mergeCell ref="A103:E103"/>
    <mergeCell ref="A1:E1"/>
    <mergeCell ref="A133:E133"/>
    <mergeCell ref="A59:E59"/>
    <mergeCell ref="A163:E163"/>
    <mergeCell ref="A157:E157"/>
    <mergeCell ref="A175:E175"/>
    <mergeCell ref="A112:E112"/>
    <mergeCell ref="A128:E1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Income Statement</vt:lpstr>
      <vt:lpstr>Balance Sheet</vt:lpstr>
      <vt:lpstr>Cash Flow</vt:lpstr>
      <vt:lpstr>Budget, Cost, Profit, Variance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Mansoor</dc:creator>
  <cp:lastModifiedBy>Mustafa Mansoor</cp:lastModifiedBy>
  <dcterms:created xsi:type="dcterms:W3CDTF">2026-09-16T21:13:48Z</dcterms:created>
  <dcterms:modified xsi:type="dcterms:W3CDTF">2026-09-16T21:37:00Z</dcterms:modified>
</cp:coreProperties>
</file>